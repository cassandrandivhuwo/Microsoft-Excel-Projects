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5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wagovza-my.sharepoint.com/personal/netshiendeulun_dws_gov_za/Documents/Documents/Lighthall/Week 1/Looukup and Pivot tables/"/>
    </mc:Choice>
  </mc:AlternateContent>
  <xr:revisionPtr revIDLastSave="238" documentId="8_{43CC130D-AFD3-4B81-B577-9458E03BE140}" xr6:coauthVersionLast="47" xr6:coauthVersionMax="47" xr10:uidLastSave="{B8FFEA8F-32FF-4F95-8D41-3AE1E24DF949}"/>
  <bookViews>
    <workbookView xWindow="-120" yWindow="-120" windowWidth="29040" windowHeight="17520" firstSheet="2" activeTab="3" xr2:uid="{00000000-000D-0000-FFFF-FFFF00000000}"/>
  </bookViews>
  <sheets>
    <sheet name="Lookup" sheetId="2" r:id="rId1"/>
    <sheet name="Orders data" sheetId="13" r:id="rId2"/>
    <sheet name="Orders2 data" sheetId="20" r:id="rId3"/>
    <sheet name="Lookup Assignment" sheetId="3" r:id="rId4"/>
    <sheet name="Pivot Assignment" sheetId="6" r:id="rId5"/>
    <sheet name="Q1" sheetId="21" r:id="rId6"/>
    <sheet name="Q2" sheetId="22" r:id="rId7"/>
    <sheet name="Q3" sheetId="23" r:id="rId8"/>
    <sheet name="Q. 4" sheetId="24" r:id="rId9"/>
    <sheet name="Q. 5" sheetId="25" r:id="rId10"/>
  </sheet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" i="3" l="1" a="1"/>
  <c r="N20" i="3" s="1"/>
  <c r="N16" i="3" a="1"/>
  <c r="N16" i="3" s="1"/>
  <c r="N12" i="3" a="1"/>
  <c r="N12" i="3" s="1"/>
  <c r="N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<sst xmlns="http://schemas.openxmlformats.org/spreadsheetml/2006/main" count="554" uniqueCount="68">
  <si>
    <t>Order Priority</t>
  </si>
  <si>
    <t>Order Quantity</t>
  </si>
  <si>
    <t>Sales</t>
  </si>
  <si>
    <t>Discount</t>
  </si>
  <si>
    <t>Ship Mode</t>
  </si>
  <si>
    <t>Profit</t>
  </si>
  <si>
    <t>Customer Name</t>
  </si>
  <si>
    <t>Region</t>
  </si>
  <si>
    <t>Customer Segment</t>
  </si>
  <si>
    <t>Low</t>
  </si>
  <si>
    <t>Regular Air</t>
  </si>
  <si>
    <t>Muhammed MacIntyre</t>
  </si>
  <si>
    <t>Nunavut</t>
  </si>
  <si>
    <t>Small Business</t>
  </si>
  <si>
    <t>Not Specified</t>
  </si>
  <si>
    <t>Ruben Dartt</t>
  </si>
  <si>
    <t>West</t>
  </si>
  <si>
    <t>Corporate</t>
  </si>
  <si>
    <t>High</t>
  </si>
  <si>
    <t>Liz Pelletier</t>
  </si>
  <si>
    <t>Delivery Truck</t>
  </si>
  <si>
    <t>Prarie</t>
  </si>
  <si>
    <t>Julie Creighton</t>
  </si>
  <si>
    <t>Critical</t>
  </si>
  <si>
    <t>Sample Company A</t>
  </si>
  <si>
    <t>Home Office</t>
  </si>
  <si>
    <t>Tamara Dahlen</t>
  </si>
  <si>
    <t>Ontario</t>
  </si>
  <si>
    <t>Arthur Gainer</t>
  </si>
  <si>
    <t>Consumer</t>
  </si>
  <si>
    <t>Jonathan Doherty</t>
  </si>
  <si>
    <t>Express Air</t>
  </si>
  <si>
    <t>Helen Wasserman</t>
  </si>
  <si>
    <t>Quebec</t>
  </si>
  <si>
    <t>Keith Dawkins</t>
  </si>
  <si>
    <t>Medium</t>
  </si>
  <si>
    <t>Craig Yedwab</t>
  </si>
  <si>
    <t>Yukon</t>
  </si>
  <si>
    <t>Pauline Chand</t>
  </si>
  <si>
    <t>Roy Collins</t>
  </si>
  <si>
    <t>Questions</t>
  </si>
  <si>
    <t>Date</t>
  </si>
  <si>
    <t>1. Total order quantity for Liz pelletier</t>
  </si>
  <si>
    <t>2. Which order priority category produced the highest sales?</t>
  </si>
  <si>
    <t>3. Show only sales that were made in 2009</t>
  </si>
  <si>
    <t>4. Which region brought in the least profit for the year 2012?</t>
  </si>
  <si>
    <t>5. which customer segment accounted for our highest sales figure?</t>
  </si>
  <si>
    <t>Q1</t>
  </si>
  <si>
    <t>Date2</t>
  </si>
  <si>
    <t>Q2</t>
  </si>
  <si>
    <t>Q3</t>
  </si>
  <si>
    <t>Q4</t>
  </si>
  <si>
    <t>Row Labels</t>
  </si>
  <si>
    <t>Grand Total</t>
  </si>
  <si>
    <t>Sum of Order Quantity</t>
  </si>
  <si>
    <t>Sum of Sales</t>
  </si>
  <si>
    <t>Q5</t>
  </si>
  <si>
    <t>Key:</t>
  </si>
  <si>
    <t>Lookup formula used</t>
  </si>
  <si>
    <t>Q1: VLOOKUP('Orders data'!A5;Orders[#All];9;FALSE)</t>
  </si>
  <si>
    <t xml:space="preserve">1. What Customer Segment does Muhammed MacIntyre fall under? </t>
  </si>
  <si>
    <t xml:space="preserve">2. What was the sales amount on 26/04/2012? </t>
  </si>
  <si>
    <t xml:space="preserve">3. Who was the customer with sales figure 4158.1235? </t>
  </si>
  <si>
    <t xml:space="preserve">4. Which customer comes from the region Yukon? </t>
  </si>
  <si>
    <t>Year</t>
  </si>
  <si>
    <t>Q2: XLOOKUP('Orders2 data'!J10;Orders2[[#All];[Date]];Orders2[[#All];[Sales]])</t>
  </si>
  <si>
    <t>Q3: XLOOKUP(Orders2[@Sales];Orders2[[#All];[Sales]];Orders2[[#All];[Customer Name]])</t>
  </si>
  <si>
    <t>Q4: XLOOKUP('Orders2 data'!H11;Orders2[[#All];[Region]];Orders2[[#All];[Customer Name]])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</si>
</sst>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3" fillId="33" borderId="0" xfId="0" applyFont="1" applyFill="1"/>
    <xf numFmtId="0" fontId="17" fillId="33" borderId="0" xfId="0" applyFont="1" applyFill="1"/>
    <xf numFmtId="0" fontId="0" fillId="3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34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9" formatCode="yyyy/mm/dd"/>
    </dxf>
    <dxf>
      <numFmt numFmtId="19" formatCode="yyyy/mm/dd"/>
    </dxf>
    <dxf>
      <numFmt numFmtId="19" formatCode="yyyy/mm/dd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tshiendeulu Ndivhuwo" refreshedDate="46115.442654050923" createdVersion="8" refreshedVersion="8" minRefreshableVersion="3" recordCount="20" xr:uid="{75EE0B74-7E21-4456-82AE-15BB49C8E5FE}">
  <cacheSource type="worksheet">
    <worksheetSource name="Orders2"/>
  </cacheSource>
  <cacheFields count="11">
    <cacheField name="Customer Name" numFmtId="0">
      <sharedItems count="13">
        <s v="Ruben Dartt"/>
        <s v="Roy Collins"/>
        <s v="Pauline Chand"/>
        <s v="Muhammed MacIntyre"/>
        <s v="Julie Creighton"/>
        <s v="Liz Pelletier"/>
        <s v="Craig Yedwab"/>
        <s v="Jonathan Doherty"/>
        <s v="Tamara Dahlen"/>
        <s v="Keith Dawkins"/>
        <s v="Arthur Gainer"/>
        <s v="Sample Company A"/>
        <s v="Helen Wasserman"/>
      </sharedItems>
    </cacheField>
    <cacheField name="Order Priority" numFmtId="0">
      <sharedItems count="5">
        <s v="Not Specified"/>
        <s v="High"/>
        <s v="Low"/>
        <s v="Medium"/>
        <s v="Critical"/>
      </sharedItems>
    </cacheField>
    <cacheField name="Order Quantity" numFmtId="0">
      <sharedItems containsSemiMixedTypes="0" containsString="0" containsNumber="1" containsInteger="1" minValue="2" maxValue="48"/>
    </cacheField>
    <cacheField name="Sales" numFmtId="0">
      <sharedItems containsSemiMixedTypes="0" containsString="0" containsNumber="1" minValue="6.93" maxValue="7804.53"/>
    </cacheField>
    <cacheField name="Discount" numFmtId="0">
      <sharedItems containsSemiMixedTypes="0" containsString="0" containsNumber="1" minValue="0.01" maxValue="0.1"/>
    </cacheField>
    <cacheField name="Ship Mode" numFmtId="0">
      <sharedItems/>
    </cacheField>
    <cacheField name="Profit" numFmtId="0">
      <sharedItems containsSemiMixedTypes="0" containsString="0" containsNumber="1" minValue="-1748.56" maxValue="2057.17"/>
    </cacheField>
    <cacheField name="Region" numFmtId="0">
      <sharedItems count="6">
        <s v="West"/>
        <s v="Prarie"/>
        <s v="Ontario"/>
        <s v="Nunavut"/>
        <s v="Yukon"/>
        <s v="Quebec"/>
      </sharedItems>
    </cacheField>
    <cacheField name="Customer Segment" numFmtId="0">
      <sharedItems count="4">
        <s v="Corporate"/>
        <s v="Small Business"/>
        <s v="Consumer"/>
        <s v="Home Office"/>
      </sharedItems>
    </cacheField>
    <cacheField name="Date" numFmtId="14">
      <sharedItems containsSemiMixedTypes="0" containsNonDate="0" containsDate="1" containsString="0" minDate="2008-04-24T00:00:00" maxDate="2012-06-09T00:00:00"/>
    </cacheField>
    <cacheField name="Year" numFmtId="0">
      <sharedItems containsSemiMixedTypes="0" containsString="0" containsNumber="1" containsInteger="1" minValue="2008" maxValue="2012" count="5">
        <n v="2009"/>
        <n v="2012"/>
        <n v="2010"/>
        <n v="2008"/>
        <n v="20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n v="2"/>
    <n v="6.93"/>
    <n v="0.01"/>
    <s v="Regular Air"/>
    <n v="-4.6399999999999997"/>
    <s v="West"/>
    <s v="Corporate"/>
    <d v="2009-05-02T00:00:00"/>
    <x v="0"/>
  </r>
  <r>
    <x v="1"/>
    <x v="1"/>
    <n v="3"/>
    <n v="461.89"/>
    <n v="0.05"/>
    <s v="Express Air"/>
    <n v="-309.82"/>
    <s v="Prarie"/>
    <s v="Corporate"/>
    <d v="2009-05-06T00:00:00"/>
    <x v="0"/>
  </r>
  <r>
    <x v="2"/>
    <x v="2"/>
    <n v="4"/>
    <n v="32.72"/>
    <n v="0.09"/>
    <s v="Regular Air"/>
    <n v="-22.59"/>
    <s v="Ontario"/>
    <s v="Corporate"/>
    <d v="2012-06-08T00:00:00"/>
    <x v="1"/>
  </r>
  <r>
    <x v="3"/>
    <x v="2"/>
    <n v="6"/>
    <n v="261.54000000000002"/>
    <n v="0.04"/>
    <s v="Regular Air"/>
    <n v="-213.25"/>
    <s v="Nunavut"/>
    <s v="Small Business"/>
    <d v="2009-04-25T00:00:00"/>
    <x v="0"/>
  </r>
  <r>
    <x v="4"/>
    <x v="0"/>
    <n v="14"/>
    <n v="1892.848"/>
    <n v="0.01"/>
    <s v="Regular Air"/>
    <n v="48.99"/>
    <s v="West"/>
    <s v="Corporate"/>
    <d v="2009-04-23T00:00:00"/>
    <x v="0"/>
  </r>
  <r>
    <x v="5"/>
    <x v="1"/>
    <n v="15"/>
    <n v="140.56"/>
    <n v="0.04"/>
    <s v="Regular Air"/>
    <n v="-128.38"/>
    <s v="Prarie"/>
    <s v="Corporate"/>
    <d v="2009-04-29T00:00:00"/>
    <x v="0"/>
  </r>
  <r>
    <x v="5"/>
    <x v="1"/>
    <n v="23"/>
    <n v="160.23349999999999"/>
    <n v="0.04"/>
    <s v="Regular Air"/>
    <n v="-85.13"/>
    <s v="West"/>
    <s v="Corporate"/>
    <d v="2009-04-28T00:00:00"/>
    <x v="0"/>
  </r>
  <r>
    <x v="5"/>
    <x v="1"/>
    <n v="24"/>
    <n v="1761.4"/>
    <n v="0.09"/>
    <s v="Delivery Truck"/>
    <n v="-1748.56"/>
    <s v="West"/>
    <s v="Corporate"/>
    <d v="2009-04-27T00:00:00"/>
    <x v="0"/>
  </r>
  <r>
    <x v="5"/>
    <x v="1"/>
    <n v="26"/>
    <n v="2808.08"/>
    <n v="7.0000000000000007E-2"/>
    <s v="Regular Air"/>
    <n v="1054.82"/>
    <s v="West"/>
    <s v="Corporate"/>
    <d v="2012-04-26T00:00:00"/>
    <x v="1"/>
  </r>
  <r>
    <x v="6"/>
    <x v="3"/>
    <n v="26"/>
    <n v="75.569999999999993"/>
    <n v="0.03"/>
    <s v="Regular Air"/>
    <n v="28.24"/>
    <s v="Yukon"/>
    <s v="Consumer"/>
    <d v="2009-05-03T00:00:00"/>
    <x v="0"/>
  </r>
  <r>
    <x v="7"/>
    <x v="0"/>
    <n v="28"/>
    <n v="51.53"/>
    <n v="0.03"/>
    <s v="Express Air"/>
    <n v="0.35"/>
    <s v="Prarie"/>
    <s v="Corporate"/>
    <d v="2010-05-09T00:00:00"/>
    <x v="2"/>
  </r>
  <r>
    <x v="1"/>
    <x v="1"/>
    <n v="29"/>
    <n v="575.11"/>
    <n v="0.02"/>
    <s v="Regular Air"/>
    <n v="71.75"/>
    <s v="Prarie"/>
    <s v="Corporate"/>
    <d v="2009-05-05T00:00:00"/>
    <x v="0"/>
  </r>
  <r>
    <x v="4"/>
    <x v="0"/>
    <n v="30"/>
    <n v="288.56"/>
    <n v="0.03"/>
    <s v="Regular Air"/>
    <n v="60.72"/>
    <s v="West"/>
    <s v="Corporate"/>
    <d v="2008-04-24T00:00:00"/>
    <x v="3"/>
  </r>
  <r>
    <x v="8"/>
    <x v="4"/>
    <n v="32"/>
    <n v="3812.73"/>
    <n v="0.02"/>
    <s v="Regular Air"/>
    <n v="1470.3"/>
    <s v="Ontario"/>
    <s v="Corporate"/>
    <d v="2009-05-01T00:00:00"/>
    <x v="0"/>
  </r>
  <r>
    <x v="9"/>
    <x v="1"/>
    <n v="37"/>
    <n v="4158.1234999999997"/>
    <n v="0.01"/>
    <s v="Regular Air"/>
    <n v="1228.8900000000001"/>
    <s v="Prarie"/>
    <s v="Home Office"/>
    <d v="2011-04-30T00:00:00"/>
    <x v="4"/>
  </r>
  <r>
    <x v="10"/>
    <x v="2"/>
    <n v="41"/>
    <n v="108.15"/>
    <n v="0.09"/>
    <s v="Regular Air"/>
    <n v="7.57"/>
    <s v="West"/>
    <s v="Consumer"/>
    <d v="2009-05-04T00:00:00"/>
    <x v="0"/>
  </r>
  <r>
    <x v="7"/>
    <x v="0"/>
    <n v="42"/>
    <n v="1186.06"/>
    <n v="0.09"/>
    <s v="Regular Air"/>
    <n v="511.69"/>
    <s v="Prarie"/>
    <s v="Corporate"/>
    <d v="2011-05-08T00:00:00"/>
    <x v="4"/>
  </r>
  <r>
    <x v="11"/>
    <x v="4"/>
    <n v="46"/>
    <n v="2484.7455"/>
    <n v="0.1"/>
    <s v="Regular Air"/>
    <n v="657.48"/>
    <s v="West"/>
    <s v="Home Office"/>
    <d v="2009-05-07T00:00:00"/>
    <x v="0"/>
  </r>
  <r>
    <x v="12"/>
    <x v="2"/>
    <n v="46"/>
    <n v="7804.53"/>
    <n v="0.05"/>
    <s v="Regular Air"/>
    <n v="2057.17"/>
    <s v="Quebec"/>
    <s v="Home Office"/>
    <d v="2011-12-10T00:00:00"/>
    <x v="4"/>
  </r>
  <r>
    <x v="12"/>
    <x v="2"/>
    <n v="48"/>
    <n v="90.05"/>
    <n v="0.03"/>
    <s v="Regular Air"/>
    <n v="-107"/>
    <s v="Quebec"/>
    <s v="Home Office"/>
    <d v="2011-10-12T00:00:0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04DDE-19C3-42E5-BDBB-74786DB7B92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2:R18" firstHeaderRow="1" firstDataRow="1" firstDataCol="1"/>
  <pivotFields count="11">
    <pivotField showAll="0">
      <items count="14">
        <item h="1" x="10"/>
        <item h="1" x="6"/>
        <item h="1" x="12"/>
        <item h="1" x="7"/>
        <item h="1" x="4"/>
        <item h="1" x="9"/>
        <item x="5"/>
        <item h="1" x="3"/>
        <item h="1" x="2"/>
        <item h="1" x="1"/>
        <item h="1" x="0"/>
        <item h="1" x="11"/>
        <item h="1" x="8"/>
        <item t="default"/>
      </items>
    </pivotField>
    <pivotField axis="axisRow" showAll="0" sortType="descending">
      <items count="6">
        <item x="4"/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numFmtId="14" showAll="0"/>
    <pivotField showAll="0">
      <items count="6">
        <item x="3"/>
        <item x="0"/>
        <item x="2"/>
        <item x="4"/>
        <item x="1"/>
        <item t="default"/>
      </items>
    </pivotField>
  </pivotFields>
  <rowFields count="1">
    <field x="1"/>
  </rowFields>
  <rowItems count="6">
    <i>
      <x v="1"/>
    </i>
    <i>
      <x v="2"/>
    </i>
    <i>
      <x/>
    </i>
    <i>
      <x v="4"/>
    </i>
    <i>
      <x v="3"/>
    </i>
    <i t="grand">
      <x/>
    </i>
  </rowItems>
  <colItems count="1">
    <i/>
  </colItems>
  <dataFields count="1">
    <dataField name="Sum of Sales" fld="3" baseField="0" baseItem="0"/>
  </dataFields>
  <formats count="1">
    <format dxfId="6">
      <pivotArea dataOnly="0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F7700-02D0-4CC2-951D-6731D73E4D5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2:N14" firstHeaderRow="1" firstDataRow="1" firstDataCol="1"/>
  <pivotFields count="11">
    <pivotField axis="axisRow" showAll="0">
      <items count="14">
        <item h="1" x="10"/>
        <item h="1" x="6"/>
        <item h="1" x="12"/>
        <item h="1" x="7"/>
        <item h="1" x="4"/>
        <item h="1" x="9"/>
        <item x="5"/>
        <item h="1" x="3"/>
        <item h="1" x="2"/>
        <item h="1" x="1"/>
        <item h="1" x="0"/>
        <item h="1" x="11"/>
        <item h="1"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6">
        <item x="3"/>
        <item x="0"/>
        <item x="2"/>
        <item x="4"/>
        <item x="1"/>
        <item t="default"/>
      </items>
    </pivotField>
  </pivotFields>
  <rowFields count="1">
    <field x="0"/>
  </rowFields>
  <rowItems count="2">
    <i>
      <x v="6"/>
    </i>
    <i t="grand">
      <x/>
    </i>
  </rowItems>
  <colItems count="1">
    <i/>
  </colItems>
  <dataFields count="1">
    <dataField name="Sum of Order Quant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0A7A0-63BE-4239-8A4D-7520E544D60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25:T30" firstHeaderRow="1" firstDataRow="1" firstDataCol="1"/>
  <pivotFields count="11">
    <pivotField showAll="0">
      <items count="14">
        <item h="1" x="10"/>
        <item h="1" x="6"/>
        <item h="1" x="12"/>
        <item h="1" x="7"/>
        <item h="1" x="4"/>
        <item h="1" x="9"/>
        <item x="5"/>
        <item h="1" x="3"/>
        <item h="1" x="2"/>
        <item h="1" x="1"/>
        <item h="1" x="0"/>
        <item h="1" x="11"/>
        <item h="1" x="8"/>
        <item t="default"/>
      </items>
    </pivotField>
    <pivotField showAll="0" sortType="descending">
      <items count="6">
        <item x="4"/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>
      <items count="7">
        <item x="3"/>
        <item x="2"/>
        <item x="1"/>
        <item x="5"/>
        <item x="0"/>
        <item x="4"/>
        <item t="default"/>
      </items>
    </pivotField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multipleItemSelectionAllowed="1" showAll="0">
      <items count="6">
        <item h="1" x="3"/>
        <item h="1" x="0"/>
        <item h="1" x="2"/>
        <item h="1" x="4"/>
        <item x="1"/>
        <item t="default"/>
      </items>
    </pivotField>
  </pivotFields>
  <rowFields count="1">
    <field x="8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Sales" fld="3" baseField="0" baseItem="0"/>
  </dataFields>
  <formats count="2">
    <format dxfId="8">
      <pivotArea collapsedLevelsAreSubtotals="1" fieldPosition="0">
        <references count="1">
          <reference field="8" count="1">
            <x v="2"/>
          </reference>
        </references>
      </pivotArea>
    </format>
    <format dxfId="7">
      <pivotArea dataOnly="0" labelOnly="1" fieldPosition="0">
        <references count="1">
          <reference field="8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CE013-7EA8-4864-BA8B-A8E5DDEA47F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7:N30" firstHeaderRow="1" firstDataRow="1" firstDataCol="1" rowPageCount="1" colPageCount="1"/>
  <pivotFields count="11">
    <pivotField showAll="0">
      <items count="14">
        <item h="1" x="10"/>
        <item h="1" x="6"/>
        <item h="1" x="12"/>
        <item h="1" x="7"/>
        <item h="1" x="4"/>
        <item h="1" x="9"/>
        <item x="5"/>
        <item h="1" x="3"/>
        <item h="1" x="2"/>
        <item h="1" x="1"/>
        <item h="1" x="0"/>
        <item h="1" x="11"/>
        <item h="1" x="8"/>
        <item t="default"/>
      </items>
    </pivotField>
    <pivotField showAll="0" sortType="descending">
      <items count="6">
        <item x="4"/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axis="axisRow" showAll="0">
      <items count="7">
        <item x="3"/>
        <item x="2"/>
        <item x="1"/>
        <item x="5"/>
        <item x="0"/>
        <item x="4"/>
        <item t="default"/>
      </items>
    </pivotField>
    <pivotField showAll="0"/>
    <pivotField numFmtId="14" showAll="0"/>
    <pivotField axis="axisPage" multipleItemSelectionAllowed="1" showAll="0">
      <items count="6">
        <item h="1" x="3"/>
        <item h="1" x="0"/>
        <item h="1" x="2"/>
        <item h="1" x="4"/>
        <item x="1"/>
        <item t="default"/>
      </items>
    </pivotField>
  </pivotFields>
  <rowFields count="1">
    <field x="7"/>
  </rowFields>
  <rowItems count="3">
    <i>
      <x v="1"/>
    </i>
    <i>
      <x v="4"/>
    </i>
    <i t="grand">
      <x/>
    </i>
  </rowItems>
  <colItems count="1">
    <i/>
  </colItems>
  <pageFields count="1">
    <pageField fld="10" hier="-1"/>
  </pageField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B5E491-E9F3-43D6-8D72-728D0A9005C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12:U14" firstHeaderRow="1" firstDataRow="1" firstDataCol="1"/>
  <pivotFields count="11">
    <pivotField showAll="0">
      <items count="14">
        <item h="1" x="10"/>
        <item h="1" x="6"/>
        <item h="1" x="12"/>
        <item h="1" x="7"/>
        <item h="1" x="4"/>
        <item h="1" x="9"/>
        <item x="5"/>
        <item h="1" x="3"/>
        <item h="1" x="2"/>
        <item h="1" x="1"/>
        <item h="1" x="0"/>
        <item h="1" x="11"/>
        <item h="1" x="8"/>
        <item t="default"/>
      </items>
    </pivotField>
    <pivotField showAll="0" sortType="descending">
      <items count="6">
        <item x="4"/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numFmtId="14" showAll="0"/>
    <pivotField axis="axisRow" showAll="0">
      <items count="6">
        <item h="1" x="3"/>
        <item x="0"/>
        <item h="1" x="2"/>
        <item h="1" x="4"/>
        <item h="1" x="1"/>
        <item t="default"/>
      </items>
    </pivotField>
  </pivotFields>
  <rowFields count="1">
    <field x="10"/>
  </rowFields>
  <rowItems count="2">
    <i>
      <x v="1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99A63-0399-481D-BE0E-571388DEB61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11">
    <pivotField axis="axisRow" showAll="0">
      <items count="14">
        <item h="1" x="10"/>
        <item h="1" x="6"/>
        <item h="1" x="12"/>
        <item h="1" x="7"/>
        <item h="1" x="4"/>
        <item h="1" x="9"/>
        <item x="5"/>
        <item h="1" x="3"/>
        <item h="1" x="2"/>
        <item h="1" x="1"/>
        <item h="1" x="0"/>
        <item h="1" x="11"/>
        <item h="1"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6">
        <item x="3"/>
        <item x="0"/>
        <item x="2"/>
        <item x="4"/>
        <item x="1"/>
        <item t="default"/>
      </items>
    </pivotField>
  </pivotFields>
  <rowFields count="1">
    <field x="0"/>
  </rowFields>
  <rowItems count="2">
    <i>
      <x v="6"/>
    </i>
    <i t="grand">
      <x/>
    </i>
  </rowItems>
  <colItems count="1">
    <i/>
  </colItems>
  <dataFields count="1">
    <dataField name="Sum of Order Quant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9F4DFF-6534-420E-A232-283767252D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1">
    <pivotField showAll="0">
      <items count="14">
        <item h="1" x="10"/>
        <item h="1" x="6"/>
        <item h="1" x="12"/>
        <item h="1" x="7"/>
        <item h="1" x="4"/>
        <item h="1" x="9"/>
        <item x="5"/>
        <item h="1" x="3"/>
        <item h="1" x="2"/>
        <item h="1" x="1"/>
        <item h="1" x="0"/>
        <item h="1" x="11"/>
        <item h="1" x="8"/>
        <item t="default"/>
      </items>
    </pivotField>
    <pivotField axis="axisRow" showAll="0" sortType="descending">
      <items count="6">
        <item x="4"/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numFmtId="14" showAll="0"/>
    <pivotField showAll="0">
      <items count="6">
        <item x="3"/>
        <item x="0"/>
        <item x="2"/>
        <item x="4"/>
        <item x="1"/>
        <item t="default"/>
      </items>
    </pivotField>
  </pivotFields>
  <rowFields count="1">
    <field x="1"/>
  </rowFields>
  <rowItems count="6">
    <i>
      <x v="1"/>
    </i>
    <i>
      <x v="2"/>
    </i>
    <i>
      <x/>
    </i>
    <i>
      <x v="4"/>
    </i>
    <i>
      <x v="3"/>
    </i>
    <i t="grand">
      <x/>
    </i>
  </rowItems>
  <colItems count="1">
    <i/>
  </colItems>
  <dataFields count="1">
    <dataField name="Sum of Sales" fld="3" baseField="0" baseItem="0"/>
  </dataFields>
  <formats count="1">
    <format dxfId="2">
      <pivotArea dataOnly="0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FF15B-3567-4C7C-9351-F4285B2E775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11">
    <pivotField showAll="0">
      <items count="14">
        <item h="1" x="10"/>
        <item h="1" x="6"/>
        <item h="1" x="12"/>
        <item h="1" x="7"/>
        <item h="1" x="4"/>
        <item h="1" x="9"/>
        <item x="5"/>
        <item h="1" x="3"/>
        <item h="1" x="2"/>
        <item h="1" x="1"/>
        <item h="1" x="0"/>
        <item h="1" x="11"/>
        <item h="1" x="8"/>
        <item t="default"/>
      </items>
    </pivotField>
    <pivotField showAll="0" sortType="descending">
      <items count="6">
        <item x="4"/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numFmtId="14" showAll="0"/>
    <pivotField axis="axisRow" showAll="0">
      <items count="6">
        <item h="1" x="3"/>
        <item x="0"/>
        <item h="1" x="2"/>
        <item h="1" x="4"/>
        <item h="1" x="1"/>
        <item t="default"/>
      </items>
    </pivotField>
  </pivotFields>
  <rowFields count="1">
    <field x="10"/>
  </rowFields>
  <rowItems count="2">
    <i>
      <x v="1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B5EF6-9654-4B97-AB0D-93018919A3E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11">
    <pivotField showAll="0">
      <items count="14">
        <item h="1" x="10"/>
        <item h="1" x="6"/>
        <item h="1" x="12"/>
        <item h="1" x="7"/>
        <item h="1" x="4"/>
        <item h="1" x="9"/>
        <item x="5"/>
        <item h="1" x="3"/>
        <item h="1" x="2"/>
        <item h="1" x="1"/>
        <item h="1" x="0"/>
        <item h="1" x="11"/>
        <item h="1" x="8"/>
        <item t="default"/>
      </items>
    </pivotField>
    <pivotField showAll="0" sortType="descending">
      <items count="6">
        <item x="4"/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axis="axisRow" showAll="0">
      <items count="7">
        <item x="3"/>
        <item x="2"/>
        <item x="1"/>
        <item x="5"/>
        <item x="0"/>
        <item x="4"/>
        <item t="default"/>
      </items>
    </pivotField>
    <pivotField showAll="0"/>
    <pivotField numFmtId="14" showAll="0"/>
    <pivotField axis="axisPage" multipleItemSelectionAllowed="1" showAll="0">
      <items count="6">
        <item h="1" x="3"/>
        <item h="1" x="0"/>
        <item h="1" x="2"/>
        <item h="1" x="4"/>
        <item x="1"/>
        <item t="default"/>
      </items>
    </pivotField>
  </pivotFields>
  <rowFields count="1">
    <field x="7"/>
  </rowFields>
  <rowItems count="3">
    <i>
      <x v="1"/>
    </i>
    <i>
      <x v="4"/>
    </i>
    <i t="grand">
      <x/>
    </i>
  </rowItems>
  <colItems count="1">
    <i/>
  </colItems>
  <pageFields count="1">
    <pageField fld="10" hier="-1"/>
  </pageField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B52B5-5C22-4F2B-B225-43D61A1FA48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showAll="0">
      <items count="14">
        <item h="1" x="10"/>
        <item h="1" x="6"/>
        <item h="1" x="12"/>
        <item h="1" x="7"/>
        <item h="1" x="4"/>
        <item h="1" x="9"/>
        <item x="5"/>
        <item h="1" x="3"/>
        <item h="1" x="2"/>
        <item h="1" x="1"/>
        <item h="1" x="0"/>
        <item h="1" x="11"/>
        <item h="1" x="8"/>
        <item t="default"/>
      </items>
    </pivotField>
    <pivotField showAll="0" sortType="descending">
      <items count="6">
        <item x="4"/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>
      <items count="7">
        <item x="3"/>
        <item x="2"/>
        <item x="1"/>
        <item x="5"/>
        <item x="0"/>
        <item x="4"/>
        <item t="default"/>
      </items>
    </pivotField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multipleItemSelectionAllowed="1" showAll="0">
      <items count="6">
        <item h="1" x="3"/>
        <item h="1" x="0"/>
        <item h="1" x="2"/>
        <item h="1" x="4"/>
        <item x="1"/>
        <item t="default"/>
      </items>
    </pivotField>
  </pivotFields>
  <rowFields count="1">
    <field x="8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Sales" fld="3" baseField="0" baseItem="0"/>
  </dataFields>
  <formats count="2">
    <format dxfId="1">
      <pivotArea collapsedLevelsAreSubtotals="1" fieldPosition="0">
        <references count="1">
          <reference field="8" count="1">
            <x v="2"/>
          </reference>
        </references>
      </pivotArea>
    </format>
    <format dxfId="0">
      <pivotArea dataOnly="0" labelOnly="1" fieldPosition="0">
        <references count="1">
          <reference field="8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0382F-4A50-4687-AFBD-FCC35425498F}" name="Table132" displayName="Table132" ref="A1:J21" totalsRowShown="0">
  <tableColumns count="10">
    <tableColumn id="1" xr3:uid="{584C9460-D8A8-4BF1-B1B6-7889655B2A0C}" name="Customer Name"/>
    <tableColumn id="3" xr3:uid="{8E109843-22FB-4BAE-9C41-DCFDF10137E3}" name="Order Priority"/>
    <tableColumn id="4" xr3:uid="{EA7578CE-8916-4B61-8AE3-A309C3679726}" name="Order Quantity"/>
    <tableColumn id="5" xr3:uid="{473C43E3-75F7-4C1F-B26D-B4454F28D07C}" name="Sales"/>
    <tableColumn id="6" xr3:uid="{2F756945-5788-4BD6-8E93-A8A37E1BF93C}" name="Discount"/>
    <tableColumn id="7" xr3:uid="{7F368227-ED62-4061-B54F-7EE3F8C5D2AC}" name="Ship Mode"/>
    <tableColumn id="8" xr3:uid="{9247767D-D6F3-4192-833B-48C148C89CF7}" name="Profit"/>
    <tableColumn id="10" xr3:uid="{5FC8A238-27F6-484F-BBA8-5E82B34852F5}" name="Region"/>
    <tableColumn id="11" xr3:uid="{FFEF0A14-1064-4145-AB88-3CF22B278283}" name="Customer Segment"/>
    <tableColumn id="12" xr3:uid="{D8D1E859-8E29-4183-BDB7-A1A628E1B00B}" name="Dat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0937F-3F1F-44CE-81B8-EEDF834ECA2F}" name="Orders" displayName="Orders" ref="A1:J21" totalsRowShown="0">
  <autoFilter ref="A1:J21" xr:uid="{A040937F-3F1F-44CE-81B8-EEDF834ECA2F}"/>
  <tableColumns count="10">
    <tableColumn id="1" xr3:uid="{E8C7312D-B406-41D7-935D-B0A7C5E33D0B}" name="Customer Name"/>
    <tableColumn id="2" xr3:uid="{8DDFEFDC-F394-4522-B941-48CB184E62E3}" name="Order Priority"/>
    <tableColumn id="3" xr3:uid="{0DAFF5BB-638D-4830-8583-4B97B619E19F}" name="Order Quantity"/>
    <tableColumn id="4" xr3:uid="{48C14405-D96B-4BD0-93F4-194F20D0C3EB}" name="Sales"/>
    <tableColumn id="5" xr3:uid="{C0D6708D-B3B9-4881-AF40-D54611F09D41}" name="Discount"/>
    <tableColumn id="6" xr3:uid="{AF92FE0E-D664-416C-A97E-7A2D6641D16B}" name="Ship Mode"/>
    <tableColumn id="7" xr3:uid="{DD7B61FB-DFE4-44AF-809F-DCABAE03DBD0}" name="Profit"/>
    <tableColumn id="8" xr3:uid="{F4EE293A-8760-4331-AB43-074229193A65}" name="Region"/>
    <tableColumn id="9" xr3:uid="{975347FE-D1B7-4FDF-AB7D-4BBC12A4AC7D}" name="Customer Segment"/>
    <tableColumn id="10" xr3:uid="{09DAE660-EFEB-4FC0-AB43-6FAE3D708BE1}" name="Date" dataDxfId="5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5D8ACA-30F2-4F48-8C05-0E0CFC28651D}" name="Orders2" displayName="Orders2" ref="A1:K21" totalsRowShown="0">
  <autoFilter ref="A1:K21" xr:uid="{085D8ACA-30F2-4F48-8C05-0E0CFC28651D}"/>
  <tableColumns count="11">
    <tableColumn id="1" xr3:uid="{2738EC95-9578-43C4-9DBB-D6246FA92790}" name="Customer Name"/>
    <tableColumn id="2" xr3:uid="{AE9D0144-3BEB-49B8-BEE9-AD936C84A3B9}" name="Order Priority"/>
    <tableColumn id="3" xr3:uid="{6FAF0601-2E57-4EB8-AEBF-2205A9D4F778}" name="Order Quantity"/>
    <tableColumn id="4" xr3:uid="{32A24757-F2DB-46A9-AECD-B68FAE8137EC}" name="Sales"/>
    <tableColumn id="5" xr3:uid="{E91ADDA3-CF5E-4827-954C-B6C86726A485}" name="Discount"/>
    <tableColumn id="6" xr3:uid="{9D4F9999-4F4D-4C28-B0FC-380E74A7E677}" name="Ship Mode"/>
    <tableColumn id="7" xr3:uid="{054BA608-F0D6-4809-8334-07D01BEB9E99}" name="Profit"/>
    <tableColumn id="8" xr3:uid="{C84D6365-7748-4226-97D4-357F9212403E}" name="Region"/>
    <tableColumn id="9" xr3:uid="{D2B244EB-1955-4FBD-8DB3-223C708614AD}" name="Customer Segment"/>
    <tableColumn id="10" xr3:uid="{81B2A148-C5D5-4C0B-8636-5A557EB9C69E}" name="Date" dataDxfId="4"/>
    <tableColumn id="11" xr3:uid="{788E0CD1-D547-44B1-9609-7F9427CA20AA}" name="Year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65F078-B05F-4E14-B252-2DD3C0898B59}" name="Table1326" displayName="Table1326" ref="A1:J6" totalsRowShown="0">
  <tableColumns count="10">
    <tableColumn id="1" xr3:uid="{B2A5DD7F-242A-425E-B93E-549C17C77484}" name="Customer Name"/>
    <tableColumn id="3" xr3:uid="{0122757B-A6F0-44BB-B6FB-9293988C5865}" name="Order Priority"/>
    <tableColumn id="4" xr3:uid="{7EA92605-3D94-44B7-B93D-FBDBA840FDF0}" name="Order Quantity"/>
    <tableColumn id="9" xr3:uid="{A93A1CF7-2AE6-4F83-89FE-E30E2F30EB6E}" name="Date2" dataDxfId="3"/>
    <tableColumn id="5" xr3:uid="{E39576EF-8E0C-4405-909F-ACE0B64820E7}" name="Sales"/>
    <tableColumn id="6" xr3:uid="{3D0CBD08-9864-4D80-94FE-4700B401EEB3}" name="Discount"/>
    <tableColumn id="7" xr3:uid="{E27197CA-A34B-4CF3-B76C-C65EFC5C1F4A}" name="Ship Mode"/>
    <tableColumn id="8" xr3:uid="{C2046D1B-8DA3-42B8-8E93-7D4B12B39FFC}" name="Profit"/>
    <tableColumn id="10" xr3:uid="{FD0250C6-D34A-4BAC-BBAB-6BC4BBA49186}" name="Region"/>
    <tableColumn id="11" xr3:uid="{7B17B4BF-8492-4D79-A08A-A8E543E3903C}" name="Customer Segment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91B139-BC6A-4433-9992-C5EE6A68A8C7}" name="Table137" displayName="Table137" ref="A1:J21" totalsRowShown="0">
  <tableColumns count="10">
    <tableColumn id="1" xr3:uid="{C73E3F59-874C-4D06-A370-05EBCCCCC9AC}" name="Customer Name"/>
    <tableColumn id="3" xr3:uid="{CD8DE883-6467-4EED-B996-FEA1D15ECB46}" name="Order Priority"/>
    <tableColumn id="4" xr3:uid="{098C4119-69AC-4DDB-A572-B6954E38A6B5}" name="Order Quantity"/>
    <tableColumn id="5" xr3:uid="{45078502-065D-4561-BC2E-B2B8B1DDEF44}" name="Sales"/>
    <tableColumn id="6" xr3:uid="{F5BED86B-5095-4E82-85CA-29ED5CE0272F}" name="Discount"/>
    <tableColumn id="7" xr3:uid="{2972947B-6288-4C79-91DB-46B046D71195}" name="Ship Mode"/>
    <tableColumn id="8" xr3:uid="{8CAEEA3E-027D-46D2-BAAA-B4D34E19139B}" name="Profit"/>
    <tableColumn id="10" xr3:uid="{39748A9F-B7F3-4818-A4EA-0F2E1D0C7F93}" name="Region"/>
    <tableColumn id="11" xr3:uid="{C31C893C-2BE3-4AC0-B45C-16DCF68276FB}" name="Customer Segment"/>
    <tableColumn id="12" xr3:uid="{C774C333-3892-4E4E-8C0F-0F49E2B31DEE}" name="Dat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5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sqref="A1:J21"/>
    </sheetView>
  </sheetViews>
  <sheetFormatPr defaultRowHeight="15" x14ac:dyDescent="0.25"/>
  <cols>
    <col min="1" max="1" width="19" bestFit="1" customWidth="1"/>
    <col min="2" max="2" width="11.85546875" bestFit="1" customWidth="1"/>
    <col min="3" max="3" width="13" bestFit="1" customWidth="1"/>
    <col min="4" max="4" width="9.7109375" bestFit="1" customWidth="1"/>
    <col min="5" max="5" width="7.85546875" bestFit="1" customWidth="1"/>
    <col min="6" max="6" width="11.85546875" bestFit="1" customWidth="1"/>
    <col min="7" max="7" width="8.28515625" bestFit="1" customWidth="1"/>
    <col min="8" max="8" width="7.42578125" bestFit="1" customWidth="1"/>
    <col min="9" max="9" width="16.140625" bestFit="1" customWidth="1"/>
    <col min="10" max="10" width="10.140625" bestFit="1" customWidth="1"/>
  </cols>
  <sheetData>
    <row r="1" spans="1:10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41</v>
      </c>
    </row>
    <row r="2" spans="1:10" x14ac:dyDescent="0.25">
      <c r="A2" t="s">
        <v>15</v>
      </c>
      <c r="B2" t="s">
        <v>14</v>
      </c>
      <c r="C2">
        <v>2</v>
      </c>
      <c r="D2">
        <v>6.93</v>
      </c>
      <c r="E2">
        <v>0.01</v>
      </c>
      <c r="F2" t="s">
        <v>10</v>
      </c>
      <c r="G2">
        <v>-4.6399999999999997</v>
      </c>
      <c r="H2" t="s">
        <v>16</v>
      </c>
      <c r="I2" t="s">
        <v>17</v>
      </c>
      <c r="J2" s="1">
        <v>39935</v>
      </c>
    </row>
    <row r="3" spans="1:10" x14ac:dyDescent="0.25">
      <c r="A3" t="s">
        <v>39</v>
      </c>
      <c r="B3" t="s">
        <v>18</v>
      </c>
      <c r="C3">
        <v>3</v>
      </c>
      <c r="D3">
        <v>461.89</v>
      </c>
      <c r="E3">
        <v>0.05</v>
      </c>
      <c r="F3" t="s">
        <v>31</v>
      </c>
      <c r="G3">
        <v>-309.82</v>
      </c>
      <c r="H3" t="s">
        <v>21</v>
      </c>
      <c r="I3" t="s">
        <v>17</v>
      </c>
      <c r="J3" s="1">
        <v>39939</v>
      </c>
    </row>
    <row r="4" spans="1:10" x14ac:dyDescent="0.25">
      <c r="A4" t="s">
        <v>38</v>
      </c>
      <c r="B4" t="s">
        <v>9</v>
      </c>
      <c r="C4">
        <v>4</v>
      </c>
      <c r="D4">
        <v>32.72</v>
      </c>
      <c r="E4">
        <v>0.09</v>
      </c>
      <c r="F4" t="s">
        <v>10</v>
      </c>
      <c r="G4">
        <v>-22.59</v>
      </c>
      <c r="H4" t="s">
        <v>27</v>
      </c>
      <c r="I4" t="s">
        <v>17</v>
      </c>
      <c r="J4" s="1">
        <v>41068</v>
      </c>
    </row>
    <row r="5" spans="1:10" x14ac:dyDescent="0.25">
      <c r="A5" t="s">
        <v>11</v>
      </c>
      <c r="B5" t="s">
        <v>9</v>
      </c>
      <c r="C5">
        <v>6</v>
      </c>
      <c r="D5">
        <v>261.54000000000002</v>
      </c>
      <c r="E5">
        <v>0.04</v>
      </c>
      <c r="F5" t="s">
        <v>10</v>
      </c>
      <c r="G5">
        <v>-213.25</v>
      </c>
      <c r="H5" t="s">
        <v>12</v>
      </c>
      <c r="I5" t="s">
        <v>13</v>
      </c>
      <c r="J5" s="1">
        <v>39928</v>
      </c>
    </row>
    <row r="6" spans="1:10" x14ac:dyDescent="0.25">
      <c r="A6" t="s">
        <v>22</v>
      </c>
      <c r="B6" t="s">
        <v>14</v>
      </c>
      <c r="C6">
        <v>14</v>
      </c>
      <c r="D6">
        <v>1892.848</v>
      </c>
      <c r="E6">
        <v>0.01</v>
      </c>
      <c r="F6" t="s">
        <v>10</v>
      </c>
      <c r="G6">
        <v>48.99</v>
      </c>
      <c r="H6" t="s">
        <v>16</v>
      </c>
      <c r="I6" t="s">
        <v>17</v>
      </c>
      <c r="J6" s="1">
        <v>39926</v>
      </c>
    </row>
    <row r="7" spans="1:10" x14ac:dyDescent="0.25">
      <c r="A7" t="s">
        <v>19</v>
      </c>
      <c r="B7" t="s">
        <v>18</v>
      </c>
      <c r="C7">
        <v>15</v>
      </c>
      <c r="D7">
        <v>140.56</v>
      </c>
      <c r="E7">
        <v>0.04</v>
      </c>
      <c r="F7" t="s">
        <v>10</v>
      </c>
      <c r="G7">
        <v>-128.38</v>
      </c>
      <c r="H7" t="s">
        <v>21</v>
      </c>
      <c r="I7" t="s">
        <v>17</v>
      </c>
      <c r="J7" s="1">
        <v>39932</v>
      </c>
    </row>
    <row r="8" spans="1:10" x14ac:dyDescent="0.25">
      <c r="A8" t="s">
        <v>19</v>
      </c>
      <c r="B8" t="s">
        <v>18</v>
      </c>
      <c r="C8">
        <v>23</v>
      </c>
      <c r="D8">
        <v>160.23349999999999</v>
      </c>
      <c r="E8">
        <v>0.04</v>
      </c>
      <c r="F8" t="s">
        <v>10</v>
      </c>
      <c r="G8">
        <v>-85.13</v>
      </c>
      <c r="H8" t="s">
        <v>16</v>
      </c>
      <c r="I8" t="s">
        <v>17</v>
      </c>
      <c r="J8" s="1">
        <v>39931</v>
      </c>
    </row>
    <row r="9" spans="1:10" x14ac:dyDescent="0.25">
      <c r="A9" t="s">
        <v>19</v>
      </c>
      <c r="B9" t="s">
        <v>18</v>
      </c>
      <c r="C9">
        <v>24</v>
      </c>
      <c r="D9">
        <v>1761.4</v>
      </c>
      <c r="E9">
        <v>0.09</v>
      </c>
      <c r="F9" t="s">
        <v>20</v>
      </c>
      <c r="G9">
        <v>-1748.56</v>
      </c>
      <c r="H9" t="s">
        <v>16</v>
      </c>
      <c r="I9" t="s">
        <v>17</v>
      </c>
      <c r="J9" s="1">
        <v>39930</v>
      </c>
    </row>
    <row r="10" spans="1:10" x14ac:dyDescent="0.25">
      <c r="A10" t="s">
        <v>19</v>
      </c>
      <c r="B10" t="s">
        <v>18</v>
      </c>
      <c r="C10">
        <v>26</v>
      </c>
      <c r="D10">
        <v>2808.08</v>
      </c>
      <c r="E10">
        <v>7.0000000000000007E-2</v>
      </c>
      <c r="F10" t="s">
        <v>10</v>
      </c>
      <c r="G10">
        <v>1054.82</v>
      </c>
      <c r="H10" t="s">
        <v>16</v>
      </c>
      <c r="I10" t="s">
        <v>17</v>
      </c>
      <c r="J10" s="1">
        <v>41025</v>
      </c>
    </row>
    <row r="11" spans="1:10" x14ac:dyDescent="0.25">
      <c r="A11" t="s">
        <v>36</v>
      </c>
      <c r="B11" t="s">
        <v>35</v>
      </c>
      <c r="C11">
        <v>26</v>
      </c>
      <c r="D11">
        <v>75.569999999999993</v>
      </c>
      <c r="E11">
        <v>0.03</v>
      </c>
      <c r="F11" t="s">
        <v>10</v>
      </c>
      <c r="G11">
        <v>28.24</v>
      </c>
      <c r="H11" t="s">
        <v>37</v>
      </c>
      <c r="I11" t="s">
        <v>29</v>
      </c>
      <c r="J11" s="1">
        <v>39936</v>
      </c>
    </row>
    <row r="12" spans="1:10" x14ac:dyDescent="0.25">
      <c r="A12" t="s">
        <v>30</v>
      </c>
      <c r="B12" t="s">
        <v>14</v>
      </c>
      <c r="C12">
        <v>28</v>
      </c>
      <c r="D12">
        <v>51.53</v>
      </c>
      <c r="E12">
        <v>0.03</v>
      </c>
      <c r="F12" t="s">
        <v>31</v>
      </c>
      <c r="G12">
        <v>0.35</v>
      </c>
      <c r="H12" t="s">
        <v>21</v>
      </c>
      <c r="I12" t="s">
        <v>17</v>
      </c>
      <c r="J12" s="1">
        <v>40307</v>
      </c>
    </row>
    <row r="13" spans="1:10" x14ac:dyDescent="0.25">
      <c r="A13" t="s">
        <v>39</v>
      </c>
      <c r="B13" t="s">
        <v>18</v>
      </c>
      <c r="C13">
        <v>29</v>
      </c>
      <c r="D13">
        <v>575.11</v>
      </c>
      <c r="E13">
        <v>0.02</v>
      </c>
      <c r="F13" t="s">
        <v>10</v>
      </c>
      <c r="G13">
        <v>71.75</v>
      </c>
      <c r="H13" t="s">
        <v>21</v>
      </c>
      <c r="I13" t="s">
        <v>17</v>
      </c>
      <c r="J13" s="1">
        <v>39938</v>
      </c>
    </row>
    <row r="14" spans="1:10" x14ac:dyDescent="0.25">
      <c r="A14" t="s">
        <v>22</v>
      </c>
      <c r="B14" t="s">
        <v>14</v>
      </c>
      <c r="C14">
        <v>30</v>
      </c>
      <c r="D14">
        <v>288.56</v>
      </c>
      <c r="E14">
        <v>0.03</v>
      </c>
      <c r="F14" t="s">
        <v>10</v>
      </c>
      <c r="G14">
        <v>60.72</v>
      </c>
      <c r="H14" t="s">
        <v>16</v>
      </c>
      <c r="I14" t="s">
        <v>17</v>
      </c>
      <c r="J14" s="1">
        <v>39562</v>
      </c>
    </row>
    <row r="15" spans="1:10" x14ac:dyDescent="0.25">
      <c r="A15" t="s">
        <v>26</v>
      </c>
      <c r="B15" t="s">
        <v>23</v>
      </c>
      <c r="C15">
        <v>32</v>
      </c>
      <c r="D15">
        <v>3812.73</v>
      </c>
      <c r="E15">
        <v>0.02</v>
      </c>
      <c r="F15" t="s">
        <v>10</v>
      </c>
      <c r="G15">
        <v>1470.3</v>
      </c>
      <c r="H15" t="s">
        <v>27</v>
      </c>
      <c r="I15" t="s">
        <v>17</v>
      </c>
      <c r="J15" s="1">
        <v>39934</v>
      </c>
    </row>
    <row r="16" spans="1:10" x14ac:dyDescent="0.25">
      <c r="A16" t="s">
        <v>34</v>
      </c>
      <c r="B16" t="s">
        <v>18</v>
      </c>
      <c r="C16">
        <v>37</v>
      </c>
      <c r="D16">
        <v>4158.1234999999997</v>
      </c>
      <c r="E16">
        <v>0.01</v>
      </c>
      <c r="F16" t="s">
        <v>10</v>
      </c>
      <c r="G16">
        <v>1228.8900000000001</v>
      </c>
      <c r="H16" t="s">
        <v>21</v>
      </c>
      <c r="I16" t="s">
        <v>25</v>
      </c>
      <c r="J16" s="1">
        <v>40663</v>
      </c>
    </row>
    <row r="17" spans="1:10" x14ac:dyDescent="0.25">
      <c r="A17" t="s">
        <v>28</v>
      </c>
      <c r="B17" t="s">
        <v>9</v>
      </c>
      <c r="C17">
        <v>41</v>
      </c>
      <c r="D17">
        <v>108.15</v>
      </c>
      <c r="E17">
        <v>0.09</v>
      </c>
      <c r="F17" t="s">
        <v>10</v>
      </c>
      <c r="G17">
        <v>7.57</v>
      </c>
      <c r="H17" t="s">
        <v>16</v>
      </c>
      <c r="I17" t="s">
        <v>29</v>
      </c>
      <c r="J17" s="1">
        <v>39937</v>
      </c>
    </row>
    <row r="18" spans="1:10" x14ac:dyDescent="0.25">
      <c r="A18" t="s">
        <v>30</v>
      </c>
      <c r="B18" t="s">
        <v>14</v>
      </c>
      <c r="C18">
        <v>42</v>
      </c>
      <c r="D18">
        <v>1186.06</v>
      </c>
      <c r="E18">
        <v>0.09</v>
      </c>
      <c r="F18" t="s">
        <v>10</v>
      </c>
      <c r="G18">
        <v>511.69</v>
      </c>
      <c r="H18" t="s">
        <v>21</v>
      </c>
      <c r="I18" t="s">
        <v>17</v>
      </c>
      <c r="J18" s="1">
        <v>40671</v>
      </c>
    </row>
    <row r="19" spans="1:10" x14ac:dyDescent="0.25">
      <c r="A19" t="s">
        <v>24</v>
      </c>
      <c r="B19" t="s">
        <v>23</v>
      </c>
      <c r="C19">
        <v>46</v>
      </c>
      <c r="D19">
        <v>2484.7455</v>
      </c>
      <c r="E19">
        <v>0.1</v>
      </c>
      <c r="F19" t="s">
        <v>10</v>
      </c>
      <c r="G19">
        <v>657.48</v>
      </c>
      <c r="H19" t="s">
        <v>16</v>
      </c>
      <c r="I19" t="s">
        <v>25</v>
      </c>
      <c r="J19" s="1">
        <v>39940</v>
      </c>
    </row>
    <row r="20" spans="1:10" x14ac:dyDescent="0.25">
      <c r="A20" t="s">
        <v>32</v>
      </c>
      <c r="B20" t="s">
        <v>9</v>
      </c>
      <c r="C20">
        <v>46</v>
      </c>
      <c r="D20">
        <v>7804.53</v>
      </c>
      <c r="E20">
        <v>0.05</v>
      </c>
      <c r="F20" t="s">
        <v>10</v>
      </c>
      <c r="G20">
        <v>2057.17</v>
      </c>
      <c r="H20" t="s">
        <v>33</v>
      </c>
      <c r="I20" t="s">
        <v>25</v>
      </c>
      <c r="J20" s="1">
        <v>40887</v>
      </c>
    </row>
    <row r="21" spans="1:10" x14ac:dyDescent="0.25">
      <c r="A21" t="s">
        <v>32</v>
      </c>
      <c r="B21" t="s">
        <v>9</v>
      </c>
      <c r="C21">
        <v>48</v>
      </c>
      <c r="D21">
        <v>90.05</v>
      </c>
      <c r="E21">
        <v>0.03</v>
      </c>
      <c r="F21" t="s">
        <v>10</v>
      </c>
      <c r="G21">
        <v>-107</v>
      </c>
      <c r="H21" t="s">
        <v>33</v>
      </c>
      <c r="I21" t="s">
        <v>25</v>
      </c>
      <c r="J21" s="1">
        <v>40828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0A373-9485-40A1-8FBD-6C644789F3E5}">
  <dimension ref="A1:J21"/>
  <sheetViews>
    <sheetView workbookViewId="0">
      <selection sqref="A1:J21"/>
    </sheetView>
  </sheetViews>
  <sheetFormatPr defaultRowHeight="15" x14ac:dyDescent="0.25"/>
  <cols>
    <col min="1" max="1" width="17.42578125" customWidth="1"/>
    <col min="2" max="2" width="15.28515625" customWidth="1"/>
    <col min="3" max="3" width="16.42578125" customWidth="1"/>
    <col min="5" max="5" width="10.85546875" customWidth="1"/>
    <col min="6" max="6" width="12.5703125" customWidth="1"/>
    <col min="8" max="8" width="9.28515625" customWidth="1"/>
    <col min="9" max="9" width="20" customWidth="1"/>
    <col min="10" max="10" width="17.28515625" style="1" customWidth="1"/>
  </cols>
  <sheetData>
    <row r="1" spans="1:10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s="1" t="s">
        <v>41</v>
      </c>
    </row>
    <row r="2" spans="1:10" x14ac:dyDescent="0.25">
      <c r="A2" t="s">
        <v>15</v>
      </c>
      <c r="B2" t="s">
        <v>14</v>
      </c>
      <c r="C2">
        <v>2</v>
      </c>
      <c r="D2">
        <v>6.93</v>
      </c>
      <c r="E2">
        <v>0.01</v>
      </c>
      <c r="F2" t="s">
        <v>10</v>
      </c>
      <c r="G2">
        <v>-4.6399999999999997</v>
      </c>
      <c r="H2" t="s">
        <v>16</v>
      </c>
      <c r="I2" t="s">
        <v>17</v>
      </c>
      <c r="J2" s="1">
        <v>39935</v>
      </c>
    </row>
    <row r="3" spans="1:10" x14ac:dyDescent="0.25">
      <c r="A3" t="s">
        <v>39</v>
      </c>
      <c r="B3" t="s">
        <v>18</v>
      </c>
      <c r="C3">
        <v>3</v>
      </c>
      <c r="D3">
        <v>461.89</v>
      </c>
      <c r="E3">
        <v>0.05</v>
      </c>
      <c r="F3" t="s">
        <v>31</v>
      </c>
      <c r="G3">
        <v>-309.82</v>
      </c>
      <c r="H3" t="s">
        <v>21</v>
      </c>
      <c r="I3" t="s">
        <v>17</v>
      </c>
      <c r="J3" s="1">
        <v>39939</v>
      </c>
    </row>
    <row r="4" spans="1:10" x14ac:dyDescent="0.25">
      <c r="A4" t="s">
        <v>38</v>
      </c>
      <c r="B4" t="s">
        <v>9</v>
      </c>
      <c r="C4">
        <v>4</v>
      </c>
      <c r="D4">
        <v>32.72</v>
      </c>
      <c r="E4">
        <v>0.09</v>
      </c>
      <c r="F4" t="s">
        <v>10</v>
      </c>
      <c r="G4">
        <v>-22.59</v>
      </c>
      <c r="H4" t="s">
        <v>27</v>
      </c>
      <c r="I4" t="s">
        <v>17</v>
      </c>
      <c r="J4" s="1">
        <v>41068</v>
      </c>
    </row>
    <row r="5" spans="1:10" x14ac:dyDescent="0.25">
      <c r="A5" t="s">
        <v>11</v>
      </c>
      <c r="B5" t="s">
        <v>9</v>
      </c>
      <c r="C5">
        <v>6</v>
      </c>
      <c r="D5">
        <v>261.54000000000002</v>
      </c>
      <c r="E5">
        <v>0.04</v>
      </c>
      <c r="F5" t="s">
        <v>10</v>
      </c>
      <c r="G5">
        <v>-213.25</v>
      </c>
      <c r="H5" t="s">
        <v>12</v>
      </c>
      <c r="I5" t="s">
        <v>13</v>
      </c>
      <c r="J5" s="1">
        <v>39928</v>
      </c>
    </row>
    <row r="6" spans="1:10" x14ac:dyDescent="0.25">
      <c r="A6" t="s">
        <v>22</v>
      </c>
      <c r="B6" t="s">
        <v>14</v>
      </c>
      <c r="C6">
        <v>14</v>
      </c>
      <c r="D6">
        <v>1892.848</v>
      </c>
      <c r="E6">
        <v>0.01</v>
      </c>
      <c r="F6" t="s">
        <v>10</v>
      </c>
      <c r="G6">
        <v>48.99</v>
      </c>
      <c r="H6" t="s">
        <v>16</v>
      </c>
      <c r="I6" t="s">
        <v>17</v>
      </c>
      <c r="J6" s="1">
        <v>39926</v>
      </c>
    </row>
    <row r="7" spans="1:10" x14ac:dyDescent="0.25">
      <c r="A7" t="s">
        <v>19</v>
      </c>
      <c r="B7" t="s">
        <v>18</v>
      </c>
      <c r="C7">
        <v>15</v>
      </c>
      <c r="D7">
        <v>140.56</v>
      </c>
      <c r="E7">
        <v>0.04</v>
      </c>
      <c r="F7" t="s">
        <v>10</v>
      </c>
      <c r="G7">
        <v>-128.38</v>
      </c>
      <c r="H7" t="s">
        <v>21</v>
      </c>
      <c r="I7" t="s">
        <v>17</v>
      </c>
      <c r="J7" s="1">
        <v>39932</v>
      </c>
    </row>
    <row r="8" spans="1:10" x14ac:dyDescent="0.25">
      <c r="A8" t="s">
        <v>19</v>
      </c>
      <c r="B8" t="s">
        <v>18</v>
      </c>
      <c r="C8">
        <v>23</v>
      </c>
      <c r="D8">
        <v>160.23349999999999</v>
      </c>
      <c r="E8">
        <v>0.04</v>
      </c>
      <c r="F8" t="s">
        <v>10</v>
      </c>
      <c r="G8">
        <v>-85.13</v>
      </c>
      <c r="H8" t="s">
        <v>16</v>
      </c>
      <c r="I8" t="s">
        <v>17</v>
      </c>
      <c r="J8" s="1">
        <v>39931</v>
      </c>
    </row>
    <row r="9" spans="1:10" x14ac:dyDescent="0.25">
      <c r="A9" t="s">
        <v>19</v>
      </c>
      <c r="B9" t="s">
        <v>18</v>
      </c>
      <c r="C9">
        <v>24</v>
      </c>
      <c r="D9">
        <v>1761.4</v>
      </c>
      <c r="E9">
        <v>0.09</v>
      </c>
      <c r="F9" t="s">
        <v>20</v>
      </c>
      <c r="G9">
        <v>-1748.56</v>
      </c>
      <c r="H9" t="s">
        <v>16</v>
      </c>
      <c r="I9" t="s">
        <v>17</v>
      </c>
      <c r="J9" s="1">
        <v>39930</v>
      </c>
    </row>
    <row r="10" spans="1:10" x14ac:dyDescent="0.25">
      <c r="A10" t="s">
        <v>19</v>
      </c>
      <c r="B10" t="s">
        <v>18</v>
      </c>
      <c r="C10">
        <v>26</v>
      </c>
      <c r="D10">
        <v>2808.08</v>
      </c>
      <c r="E10">
        <v>7.0000000000000007E-2</v>
      </c>
      <c r="F10" t="s">
        <v>10</v>
      </c>
      <c r="G10">
        <v>1054.82</v>
      </c>
      <c r="H10" t="s">
        <v>16</v>
      </c>
      <c r="I10" t="s">
        <v>17</v>
      </c>
      <c r="J10" s="1">
        <v>41025</v>
      </c>
    </row>
    <row r="11" spans="1:10" x14ac:dyDescent="0.25">
      <c r="A11" t="s">
        <v>36</v>
      </c>
      <c r="B11" t="s">
        <v>35</v>
      </c>
      <c r="C11">
        <v>26</v>
      </c>
      <c r="D11">
        <v>75.569999999999993</v>
      </c>
      <c r="E11">
        <v>0.03</v>
      </c>
      <c r="F11" t="s">
        <v>10</v>
      </c>
      <c r="G11">
        <v>28.24</v>
      </c>
      <c r="H11" t="s">
        <v>37</v>
      </c>
      <c r="I11" t="s">
        <v>29</v>
      </c>
      <c r="J11" s="1">
        <v>39936</v>
      </c>
    </row>
    <row r="12" spans="1:10" x14ac:dyDescent="0.25">
      <c r="A12" t="s">
        <v>30</v>
      </c>
      <c r="B12" t="s">
        <v>14</v>
      </c>
      <c r="C12">
        <v>28</v>
      </c>
      <c r="D12">
        <v>51.53</v>
      </c>
      <c r="E12">
        <v>0.03</v>
      </c>
      <c r="F12" t="s">
        <v>31</v>
      </c>
      <c r="G12">
        <v>0.35</v>
      </c>
      <c r="H12" t="s">
        <v>21</v>
      </c>
      <c r="I12" t="s">
        <v>17</v>
      </c>
      <c r="J12" s="1">
        <v>40307</v>
      </c>
    </row>
    <row r="13" spans="1:10" x14ac:dyDescent="0.25">
      <c r="A13" t="s">
        <v>39</v>
      </c>
      <c r="B13" t="s">
        <v>18</v>
      </c>
      <c r="C13">
        <v>29</v>
      </c>
      <c r="D13">
        <v>575.11</v>
      </c>
      <c r="E13">
        <v>0.02</v>
      </c>
      <c r="F13" t="s">
        <v>10</v>
      </c>
      <c r="G13">
        <v>71.75</v>
      </c>
      <c r="H13" t="s">
        <v>21</v>
      </c>
      <c r="I13" t="s">
        <v>17</v>
      </c>
      <c r="J13" s="1">
        <v>39938</v>
      </c>
    </row>
    <row r="14" spans="1:10" x14ac:dyDescent="0.25">
      <c r="A14" t="s">
        <v>22</v>
      </c>
      <c r="B14" t="s">
        <v>14</v>
      </c>
      <c r="C14">
        <v>30</v>
      </c>
      <c r="D14">
        <v>288.56</v>
      </c>
      <c r="E14">
        <v>0.03</v>
      </c>
      <c r="F14" t="s">
        <v>10</v>
      </c>
      <c r="G14">
        <v>60.72</v>
      </c>
      <c r="H14" t="s">
        <v>16</v>
      </c>
      <c r="I14" t="s">
        <v>17</v>
      </c>
      <c r="J14" s="1">
        <v>39562</v>
      </c>
    </row>
    <row r="15" spans="1:10" x14ac:dyDescent="0.25">
      <c r="A15" t="s">
        <v>26</v>
      </c>
      <c r="B15" t="s">
        <v>23</v>
      </c>
      <c r="C15">
        <v>32</v>
      </c>
      <c r="D15">
        <v>3812.73</v>
      </c>
      <c r="E15">
        <v>0.02</v>
      </c>
      <c r="F15" t="s">
        <v>10</v>
      </c>
      <c r="G15">
        <v>1470.3</v>
      </c>
      <c r="H15" t="s">
        <v>27</v>
      </c>
      <c r="I15" t="s">
        <v>17</v>
      </c>
      <c r="J15" s="1">
        <v>39934</v>
      </c>
    </row>
    <row r="16" spans="1:10" x14ac:dyDescent="0.25">
      <c r="A16" t="s">
        <v>34</v>
      </c>
      <c r="B16" t="s">
        <v>18</v>
      </c>
      <c r="C16">
        <v>37</v>
      </c>
      <c r="D16">
        <v>4158.1234999999997</v>
      </c>
      <c r="E16">
        <v>0.01</v>
      </c>
      <c r="F16" t="s">
        <v>10</v>
      </c>
      <c r="G16">
        <v>1228.8900000000001</v>
      </c>
      <c r="H16" t="s">
        <v>21</v>
      </c>
      <c r="I16" t="s">
        <v>25</v>
      </c>
      <c r="J16" s="1">
        <v>40663</v>
      </c>
    </row>
    <row r="17" spans="1:10" x14ac:dyDescent="0.25">
      <c r="A17" t="s">
        <v>28</v>
      </c>
      <c r="B17" t="s">
        <v>9</v>
      </c>
      <c r="C17">
        <v>41</v>
      </c>
      <c r="D17">
        <v>108.15</v>
      </c>
      <c r="E17">
        <v>0.09</v>
      </c>
      <c r="F17" t="s">
        <v>10</v>
      </c>
      <c r="G17">
        <v>7.57</v>
      </c>
      <c r="H17" t="s">
        <v>16</v>
      </c>
      <c r="I17" t="s">
        <v>29</v>
      </c>
      <c r="J17" s="1">
        <v>39937</v>
      </c>
    </row>
    <row r="18" spans="1:10" x14ac:dyDescent="0.25">
      <c r="A18" t="s">
        <v>30</v>
      </c>
      <c r="B18" t="s">
        <v>14</v>
      </c>
      <c r="C18">
        <v>42</v>
      </c>
      <c r="D18">
        <v>1186.06</v>
      </c>
      <c r="E18">
        <v>0.09</v>
      </c>
      <c r="F18" t="s">
        <v>10</v>
      </c>
      <c r="G18">
        <v>511.69</v>
      </c>
      <c r="H18" t="s">
        <v>21</v>
      </c>
      <c r="I18" t="s">
        <v>17</v>
      </c>
      <c r="J18" s="1">
        <v>40671</v>
      </c>
    </row>
    <row r="19" spans="1:10" x14ac:dyDescent="0.25">
      <c r="A19" t="s">
        <v>24</v>
      </c>
      <c r="B19" t="s">
        <v>23</v>
      </c>
      <c r="C19">
        <v>46</v>
      </c>
      <c r="D19">
        <v>2484.7455</v>
      </c>
      <c r="E19">
        <v>0.1</v>
      </c>
      <c r="F19" t="s">
        <v>10</v>
      </c>
      <c r="G19">
        <v>657.48</v>
      </c>
      <c r="H19" t="s">
        <v>16</v>
      </c>
      <c r="I19" t="s">
        <v>25</v>
      </c>
      <c r="J19" s="1">
        <v>39940</v>
      </c>
    </row>
    <row r="20" spans="1:10" x14ac:dyDescent="0.25">
      <c r="A20" t="s">
        <v>32</v>
      </c>
      <c r="B20" t="s">
        <v>9</v>
      </c>
      <c r="C20">
        <v>46</v>
      </c>
      <c r="D20">
        <v>7804.53</v>
      </c>
      <c r="E20">
        <v>0.05</v>
      </c>
      <c r="F20" t="s">
        <v>10</v>
      </c>
      <c r="G20">
        <v>2057.17</v>
      </c>
      <c r="H20" t="s">
        <v>33</v>
      </c>
      <c r="I20" t="s">
        <v>25</v>
      </c>
      <c r="J20" s="1">
        <v>40887</v>
      </c>
    </row>
    <row r="21" spans="1:10" x14ac:dyDescent="0.25">
      <c r="A21" t="s">
        <v>32</v>
      </c>
      <c r="B21" t="s">
        <v>9</v>
      </c>
      <c r="C21">
        <v>48</v>
      </c>
      <c r="D21">
        <v>90.05</v>
      </c>
      <c r="E21">
        <v>0.03</v>
      </c>
      <c r="F21" t="s">
        <v>10</v>
      </c>
      <c r="G21">
        <v>-107</v>
      </c>
      <c r="H21" t="s">
        <v>33</v>
      </c>
      <c r="I21" t="s">
        <v>25</v>
      </c>
      <c r="J21" s="1">
        <v>40828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31F9-1A07-4122-9C6E-C6DC2127908E}">
  <dimension ref="A1:K21"/>
  <sheetViews>
    <sheetView workbookViewId="0">
      <selection activeCell="B7" sqref="B7"/>
    </sheetView>
  </sheetViews>
  <sheetFormatPr defaultRowHeight="15" x14ac:dyDescent="0.25"/>
  <cols>
    <col min="1" max="1" width="17.42578125" customWidth="1"/>
    <col min="2" max="2" width="15.28515625" customWidth="1"/>
    <col min="3" max="3" width="16.42578125" customWidth="1"/>
    <col min="5" max="5" width="10.85546875" customWidth="1"/>
    <col min="6" max="6" width="12.5703125" customWidth="1"/>
    <col min="8" max="8" width="9.28515625" customWidth="1"/>
    <col min="9" max="9" width="20" customWidth="1"/>
    <col min="10" max="10" width="10.7109375" style="1" bestFit="1" customWidth="1"/>
  </cols>
  <sheetData>
    <row r="1" spans="1:11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s="1" t="s">
        <v>41</v>
      </c>
      <c r="K1" t="s">
        <v>64</v>
      </c>
    </row>
    <row r="2" spans="1:11" x14ac:dyDescent="0.25">
      <c r="A2" t="s">
        <v>15</v>
      </c>
      <c r="B2" t="s">
        <v>14</v>
      </c>
      <c r="C2">
        <v>2</v>
      </c>
      <c r="D2">
        <v>6.93</v>
      </c>
      <c r="E2">
        <v>0.01</v>
      </c>
      <c r="F2" t="s">
        <v>10</v>
      </c>
      <c r="G2">
        <v>-4.6399999999999997</v>
      </c>
      <c r="H2" t="s">
        <v>16</v>
      </c>
      <c r="I2" t="s">
        <v>17</v>
      </c>
      <c r="J2" s="1">
        <v>39935</v>
      </c>
      <c r="K2">
        <v>2009</v>
      </c>
    </row>
    <row r="3" spans="1:11" x14ac:dyDescent="0.25">
      <c r="A3" t="s">
        <v>39</v>
      </c>
      <c r="B3" t="s">
        <v>18</v>
      </c>
      <c r="C3">
        <v>3</v>
      </c>
      <c r="D3">
        <v>461.89</v>
      </c>
      <c r="E3">
        <v>0.05</v>
      </c>
      <c r="F3" t="s">
        <v>31</v>
      </c>
      <c r="G3">
        <v>-309.82</v>
      </c>
      <c r="H3" t="s">
        <v>21</v>
      </c>
      <c r="I3" t="s">
        <v>17</v>
      </c>
      <c r="J3" s="1">
        <v>39939</v>
      </c>
      <c r="K3">
        <v>2009</v>
      </c>
    </row>
    <row r="4" spans="1:11" x14ac:dyDescent="0.25">
      <c r="A4" t="s">
        <v>38</v>
      </c>
      <c r="B4" t="s">
        <v>9</v>
      </c>
      <c r="C4">
        <v>4</v>
      </c>
      <c r="D4">
        <v>32.72</v>
      </c>
      <c r="E4">
        <v>0.09</v>
      </c>
      <c r="F4" t="s">
        <v>10</v>
      </c>
      <c r="G4">
        <v>-22.59</v>
      </c>
      <c r="H4" t="s">
        <v>27</v>
      </c>
      <c r="I4" t="s">
        <v>17</v>
      </c>
      <c r="J4" s="1">
        <v>41068</v>
      </c>
      <c r="K4">
        <v>2012</v>
      </c>
    </row>
    <row r="5" spans="1:11" x14ac:dyDescent="0.25">
      <c r="A5" t="s">
        <v>11</v>
      </c>
      <c r="B5" t="s">
        <v>9</v>
      </c>
      <c r="C5">
        <v>6</v>
      </c>
      <c r="D5">
        <v>261.54000000000002</v>
      </c>
      <c r="E5">
        <v>0.04</v>
      </c>
      <c r="F5" t="s">
        <v>10</v>
      </c>
      <c r="G5">
        <v>-213.25</v>
      </c>
      <c r="H5" t="s">
        <v>12</v>
      </c>
      <c r="I5" t="s">
        <v>13</v>
      </c>
      <c r="J5" s="1">
        <v>39928</v>
      </c>
      <c r="K5">
        <v>2009</v>
      </c>
    </row>
    <row r="6" spans="1:11" x14ac:dyDescent="0.25">
      <c r="A6" t="s">
        <v>22</v>
      </c>
      <c r="B6" t="s">
        <v>14</v>
      </c>
      <c r="C6">
        <v>14</v>
      </c>
      <c r="D6">
        <v>1892.848</v>
      </c>
      <c r="E6">
        <v>0.01</v>
      </c>
      <c r="F6" t="s">
        <v>10</v>
      </c>
      <c r="G6">
        <v>48.99</v>
      </c>
      <c r="H6" t="s">
        <v>16</v>
      </c>
      <c r="I6" t="s">
        <v>17</v>
      </c>
      <c r="J6" s="1">
        <v>39926</v>
      </c>
      <c r="K6">
        <v>2009</v>
      </c>
    </row>
    <row r="7" spans="1:11" x14ac:dyDescent="0.25">
      <c r="A7" t="s">
        <v>19</v>
      </c>
      <c r="B7" t="s">
        <v>18</v>
      </c>
      <c r="C7">
        <v>15</v>
      </c>
      <c r="D7">
        <v>140.56</v>
      </c>
      <c r="E7">
        <v>0.04</v>
      </c>
      <c r="F7" t="s">
        <v>10</v>
      </c>
      <c r="G7">
        <v>-128.38</v>
      </c>
      <c r="H7" t="s">
        <v>21</v>
      </c>
      <c r="I7" t="s">
        <v>17</v>
      </c>
      <c r="J7" s="1">
        <v>39932</v>
      </c>
      <c r="K7">
        <v>2009</v>
      </c>
    </row>
    <row r="8" spans="1:11" x14ac:dyDescent="0.25">
      <c r="A8" t="s">
        <v>19</v>
      </c>
      <c r="B8" t="s">
        <v>18</v>
      </c>
      <c r="C8">
        <v>23</v>
      </c>
      <c r="D8">
        <v>160.23349999999999</v>
      </c>
      <c r="E8">
        <v>0.04</v>
      </c>
      <c r="F8" t="s">
        <v>10</v>
      </c>
      <c r="G8">
        <v>-85.13</v>
      </c>
      <c r="H8" t="s">
        <v>16</v>
      </c>
      <c r="I8" t="s">
        <v>17</v>
      </c>
      <c r="J8" s="1">
        <v>39931</v>
      </c>
      <c r="K8">
        <v>2009</v>
      </c>
    </row>
    <row r="9" spans="1:11" x14ac:dyDescent="0.25">
      <c r="A9" t="s">
        <v>19</v>
      </c>
      <c r="B9" t="s">
        <v>18</v>
      </c>
      <c r="C9">
        <v>24</v>
      </c>
      <c r="D9">
        <v>1761.4</v>
      </c>
      <c r="E9">
        <v>0.09</v>
      </c>
      <c r="F9" t="s">
        <v>20</v>
      </c>
      <c r="G9">
        <v>-1748.56</v>
      </c>
      <c r="H9" t="s">
        <v>16</v>
      </c>
      <c r="I9" t="s">
        <v>17</v>
      </c>
      <c r="J9" s="1">
        <v>39930</v>
      </c>
      <c r="K9">
        <v>2009</v>
      </c>
    </row>
    <row r="10" spans="1:11" x14ac:dyDescent="0.25">
      <c r="A10" t="s">
        <v>19</v>
      </c>
      <c r="B10" t="s">
        <v>18</v>
      </c>
      <c r="C10">
        <v>26</v>
      </c>
      <c r="D10">
        <v>2808.08</v>
      </c>
      <c r="E10">
        <v>7.0000000000000007E-2</v>
      </c>
      <c r="F10" t="s">
        <v>10</v>
      </c>
      <c r="G10">
        <v>1054.82</v>
      </c>
      <c r="H10" t="s">
        <v>16</v>
      </c>
      <c r="I10" t="s">
        <v>17</v>
      </c>
      <c r="J10" s="1">
        <v>41025</v>
      </c>
      <c r="K10">
        <v>2012</v>
      </c>
    </row>
    <row r="11" spans="1:11" x14ac:dyDescent="0.25">
      <c r="A11" t="s">
        <v>36</v>
      </c>
      <c r="B11" t="s">
        <v>35</v>
      </c>
      <c r="C11">
        <v>26</v>
      </c>
      <c r="D11">
        <v>75.569999999999993</v>
      </c>
      <c r="E11">
        <v>0.03</v>
      </c>
      <c r="F11" t="s">
        <v>10</v>
      </c>
      <c r="G11">
        <v>28.24</v>
      </c>
      <c r="H11" t="s">
        <v>37</v>
      </c>
      <c r="I11" t="s">
        <v>29</v>
      </c>
      <c r="J11" s="1">
        <v>39936</v>
      </c>
      <c r="K11">
        <v>2009</v>
      </c>
    </row>
    <row r="12" spans="1:11" x14ac:dyDescent="0.25">
      <c r="A12" t="s">
        <v>30</v>
      </c>
      <c r="B12" t="s">
        <v>14</v>
      </c>
      <c r="C12">
        <v>28</v>
      </c>
      <c r="D12">
        <v>51.53</v>
      </c>
      <c r="E12">
        <v>0.03</v>
      </c>
      <c r="F12" t="s">
        <v>31</v>
      </c>
      <c r="G12">
        <v>0.35</v>
      </c>
      <c r="H12" t="s">
        <v>21</v>
      </c>
      <c r="I12" t="s">
        <v>17</v>
      </c>
      <c r="J12" s="1">
        <v>40307</v>
      </c>
      <c r="K12">
        <v>2010</v>
      </c>
    </row>
    <row r="13" spans="1:11" x14ac:dyDescent="0.25">
      <c r="A13" t="s">
        <v>39</v>
      </c>
      <c r="B13" t="s">
        <v>18</v>
      </c>
      <c r="C13">
        <v>29</v>
      </c>
      <c r="D13">
        <v>575.11</v>
      </c>
      <c r="E13">
        <v>0.02</v>
      </c>
      <c r="F13" t="s">
        <v>10</v>
      </c>
      <c r="G13">
        <v>71.75</v>
      </c>
      <c r="H13" t="s">
        <v>21</v>
      </c>
      <c r="I13" t="s">
        <v>17</v>
      </c>
      <c r="J13" s="1">
        <v>39938</v>
      </c>
      <c r="K13">
        <v>2009</v>
      </c>
    </row>
    <row r="14" spans="1:11" x14ac:dyDescent="0.25">
      <c r="A14" t="s">
        <v>22</v>
      </c>
      <c r="B14" t="s">
        <v>14</v>
      </c>
      <c r="C14">
        <v>30</v>
      </c>
      <c r="D14">
        <v>288.56</v>
      </c>
      <c r="E14">
        <v>0.03</v>
      </c>
      <c r="F14" t="s">
        <v>10</v>
      </c>
      <c r="G14">
        <v>60.72</v>
      </c>
      <c r="H14" t="s">
        <v>16</v>
      </c>
      <c r="I14" t="s">
        <v>17</v>
      </c>
      <c r="J14" s="1">
        <v>39562</v>
      </c>
      <c r="K14">
        <v>2008</v>
      </c>
    </row>
    <row r="15" spans="1:11" x14ac:dyDescent="0.25">
      <c r="A15" t="s">
        <v>26</v>
      </c>
      <c r="B15" t="s">
        <v>23</v>
      </c>
      <c r="C15">
        <v>32</v>
      </c>
      <c r="D15">
        <v>3812.73</v>
      </c>
      <c r="E15">
        <v>0.02</v>
      </c>
      <c r="F15" t="s">
        <v>10</v>
      </c>
      <c r="G15">
        <v>1470.3</v>
      </c>
      <c r="H15" t="s">
        <v>27</v>
      </c>
      <c r="I15" t="s">
        <v>17</v>
      </c>
      <c r="J15" s="1">
        <v>39934</v>
      </c>
      <c r="K15">
        <v>2009</v>
      </c>
    </row>
    <row r="16" spans="1:11" x14ac:dyDescent="0.25">
      <c r="A16" t="s">
        <v>34</v>
      </c>
      <c r="B16" t="s">
        <v>18</v>
      </c>
      <c r="C16">
        <v>37</v>
      </c>
      <c r="D16">
        <v>4158.1234999999997</v>
      </c>
      <c r="E16">
        <v>0.01</v>
      </c>
      <c r="F16" t="s">
        <v>10</v>
      </c>
      <c r="G16">
        <v>1228.8900000000001</v>
      </c>
      <c r="H16" t="s">
        <v>21</v>
      </c>
      <c r="I16" t="s">
        <v>25</v>
      </c>
      <c r="J16" s="1">
        <v>40663</v>
      </c>
      <c r="K16">
        <v>2011</v>
      </c>
    </row>
    <row r="17" spans="1:11" x14ac:dyDescent="0.25">
      <c r="A17" t="s">
        <v>28</v>
      </c>
      <c r="B17" t="s">
        <v>9</v>
      </c>
      <c r="C17">
        <v>41</v>
      </c>
      <c r="D17">
        <v>108.15</v>
      </c>
      <c r="E17">
        <v>0.09</v>
      </c>
      <c r="F17" t="s">
        <v>10</v>
      </c>
      <c r="G17">
        <v>7.57</v>
      </c>
      <c r="H17" t="s">
        <v>16</v>
      </c>
      <c r="I17" t="s">
        <v>29</v>
      </c>
      <c r="J17" s="1">
        <v>39937</v>
      </c>
      <c r="K17">
        <v>2009</v>
      </c>
    </row>
    <row r="18" spans="1:11" x14ac:dyDescent="0.25">
      <c r="A18" t="s">
        <v>30</v>
      </c>
      <c r="B18" t="s">
        <v>14</v>
      </c>
      <c r="C18">
        <v>42</v>
      </c>
      <c r="D18">
        <v>1186.06</v>
      </c>
      <c r="E18">
        <v>0.09</v>
      </c>
      <c r="F18" t="s">
        <v>10</v>
      </c>
      <c r="G18">
        <v>511.69</v>
      </c>
      <c r="H18" t="s">
        <v>21</v>
      </c>
      <c r="I18" t="s">
        <v>17</v>
      </c>
      <c r="J18" s="1">
        <v>40671</v>
      </c>
      <c r="K18">
        <v>2011</v>
      </c>
    </row>
    <row r="19" spans="1:11" x14ac:dyDescent="0.25">
      <c r="A19" t="s">
        <v>24</v>
      </c>
      <c r="B19" t="s">
        <v>23</v>
      </c>
      <c r="C19">
        <v>46</v>
      </c>
      <c r="D19">
        <v>2484.7455</v>
      </c>
      <c r="E19">
        <v>0.1</v>
      </c>
      <c r="F19" t="s">
        <v>10</v>
      </c>
      <c r="G19">
        <v>657.48</v>
      </c>
      <c r="H19" t="s">
        <v>16</v>
      </c>
      <c r="I19" t="s">
        <v>25</v>
      </c>
      <c r="J19" s="1">
        <v>39940</v>
      </c>
      <c r="K19">
        <v>2009</v>
      </c>
    </row>
    <row r="20" spans="1:11" x14ac:dyDescent="0.25">
      <c r="A20" t="s">
        <v>32</v>
      </c>
      <c r="B20" t="s">
        <v>9</v>
      </c>
      <c r="C20">
        <v>46</v>
      </c>
      <c r="D20">
        <v>7804.53</v>
      </c>
      <c r="E20">
        <v>0.05</v>
      </c>
      <c r="F20" t="s">
        <v>10</v>
      </c>
      <c r="G20">
        <v>2057.17</v>
      </c>
      <c r="H20" t="s">
        <v>33</v>
      </c>
      <c r="I20" t="s">
        <v>25</v>
      </c>
      <c r="J20" s="1">
        <v>40887</v>
      </c>
      <c r="K20">
        <v>2011</v>
      </c>
    </row>
    <row r="21" spans="1:11" x14ac:dyDescent="0.25">
      <c r="A21" t="s">
        <v>32</v>
      </c>
      <c r="B21" t="s">
        <v>9</v>
      </c>
      <c r="C21">
        <v>48</v>
      </c>
      <c r="D21">
        <v>90.05</v>
      </c>
      <c r="E21">
        <v>0.03</v>
      </c>
      <c r="F21" t="s">
        <v>10</v>
      </c>
      <c r="G21">
        <v>-107</v>
      </c>
      <c r="H21" t="s">
        <v>33</v>
      </c>
      <c r="I21" t="s">
        <v>25</v>
      </c>
      <c r="J21" s="1">
        <v>40828</v>
      </c>
      <c r="K21">
        <v>2011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0"/>
  <sheetViews>
    <sheetView tabSelected="1" topLeftCell="M1" workbookViewId="0">
      <selection activeCell="W25" sqref="W25"/>
    </sheetView>
  </sheetViews>
  <sheetFormatPr defaultRowHeight="15" x14ac:dyDescent="0.25"/>
  <cols>
    <col min="4" max="4" width="13" customWidth="1"/>
    <col min="14" max="14" width="13" customWidth="1"/>
    <col min="20" max="20" width="24.28515625" customWidth="1"/>
    <col min="25" max="25" width="20.5703125" customWidth="1"/>
  </cols>
  <sheetData>
    <row r="1" spans="1:25" x14ac:dyDescent="0.25">
      <c r="A1" t="s">
        <v>6</v>
      </c>
      <c r="B1" t="s">
        <v>0</v>
      </c>
      <c r="C1" t="s">
        <v>1</v>
      </c>
      <c r="D1" t="s">
        <v>48</v>
      </c>
      <c r="E1" t="s">
        <v>2</v>
      </c>
      <c r="F1" t="s">
        <v>3</v>
      </c>
      <c r="G1" t="s">
        <v>4</v>
      </c>
      <c r="H1" t="s">
        <v>5</v>
      </c>
      <c r="I1" t="s">
        <v>7</v>
      </c>
      <c r="J1" t="s">
        <v>8</v>
      </c>
      <c r="N1" s="2" t="s">
        <v>40</v>
      </c>
    </row>
    <row r="2" spans="1:25" x14ac:dyDescent="0.25">
      <c r="A2" t="s">
        <v>15</v>
      </c>
      <c r="B2" t="s">
        <v>14</v>
      </c>
      <c r="C2">
        <v>2</v>
      </c>
      <c r="D2" s="1">
        <v>39935</v>
      </c>
      <c r="E2">
        <v>6.93</v>
      </c>
      <c r="F2">
        <v>0.01</v>
      </c>
      <c r="G2" t="s">
        <v>10</v>
      </c>
      <c r="H2">
        <v>-4.6399999999999997</v>
      </c>
      <c r="I2" t="s">
        <v>16</v>
      </c>
      <c r="J2" t="s">
        <v>17</v>
      </c>
      <c r="N2" t="s">
        <v>60</v>
      </c>
      <c r="X2" t="s">
        <v>57</v>
      </c>
      <c r="Y2" s="4" t="s">
        <v>58</v>
      </c>
    </row>
    <row r="3" spans="1:25" x14ac:dyDescent="0.25">
      <c r="A3" t="s">
        <v>39</v>
      </c>
      <c r="B3" t="s">
        <v>18</v>
      </c>
      <c r="C3">
        <v>3</v>
      </c>
      <c r="D3" s="1">
        <v>39939</v>
      </c>
      <c r="E3">
        <v>461.89</v>
      </c>
      <c r="F3">
        <v>0.05</v>
      </c>
      <c r="G3" t="s">
        <v>31</v>
      </c>
      <c r="H3">
        <v>-309.82</v>
      </c>
      <c r="I3" t="s">
        <v>21</v>
      </c>
      <c r="J3" t="s">
        <v>17</v>
      </c>
      <c r="N3" t="s">
        <v>61</v>
      </c>
    </row>
    <row r="4" spans="1:25" x14ac:dyDescent="0.25">
      <c r="A4" t="s">
        <v>38</v>
      </c>
      <c r="B4" t="s">
        <v>9</v>
      </c>
      <c r="C4">
        <v>4</v>
      </c>
      <c r="D4" s="1">
        <v>41068</v>
      </c>
      <c r="E4">
        <v>32.72</v>
      </c>
      <c r="F4">
        <v>0.09</v>
      </c>
      <c r="G4" t="s">
        <v>10</v>
      </c>
      <c r="H4">
        <v>-22.59</v>
      </c>
      <c r="I4" t="s">
        <v>27</v>
      </c>
      <c r="J4" t="s">
        <v>17</v>
      </c>
      <c r="N4" t="s">
        <v>62</v>
      </c>
    </row>
    <row r="5" spans="1:25" x14ac:dyDescent="0.25">
      <c r="A5" t="s">
        <v>11</v>
      </c>
      <c r="B5" t="s">
        <v>9</v>
      </c>
      <c r="C5">
        <v>6</v>
      </c>
      <c r="D5" s="1">
        <v>39928</v>
      </c>
      <c r="E5">
        <v>261.54000000000002</v>
      </c>
      <c r="F5">
        <v>0.04</v>
      </c>
      <c r="G5" t="s">
        <v>10</v>
      </c>
      <c r="H5">
        <v>-213.25</v>
      </c>
      <c r="I5" t="s">
        <v>12</v>
      </c>
      <c r="J5" t="s">
        <v>13</v>
      </c>
      <c r="N5" t="s">
        <v>63</v>
      </c>
    </row>
    <row r="6" spans="1:25" x14ac:dyDescent="0.25">
      <c r="A6" t="s">
        <v>32</v>
      </c>
      <c r="B6" t="s">
        <v>9</v>
      </c>
      <c r="C6">
        <v>48</v>
      </c>
      <c r="D6" s="1">
        <v>40828</v>
      </c>
      <c r="E6">
        <v>90.05</v>
      </c>
      <c r="F6">
        <v>0.03</v>
      </c>
      <c r="G6" t="s">
        <v>10</v>
      </c>
      <c r="H6">
        <v>-107</v>
      </c>
      <c r="I6" t="s">
        <v>33</v>
      </c>
      <c r="J6" t="s">
        <v>25</v>
      </c>
    </row>
    <row r="7" spans="1:25" x14ac:dyDescent="0.25">
      <c r="N7" s="4" t="s">
        <v>59</v>
      </c>
      <c r="O7" s="4"/>
      <c r="P7" s="4"/>
      <c r="Q7" s="4"/>
      <c r="R7" s="4"/>
    </row>
    <row r="8" spans="1:25" x14ac:dyDescent="0.25">
      <c r="N8" t="str">
        <f>VLOOKUP('Orders2 data'!A5,Orders2[#All],9,FALSE)</f>
        <v>Small Business</v>
      </c>
    </row>
    <row r="11" spans="1:25" x14ac:dyDescent="0.25">
      <c r="N11" s="4" t="s">
        <v>65</v>
      </c>
      <c r="O11" s="4"/>
      <c r="P11" s="4"/>
      <c r="Q11" s="4"/>
      <c r="R11" s="4"/>
      <c r="S11" s="4"/>
      <c r="T11" s="4"/>
    </row>
    <row r="12" spans="1:25" x14ac:dyDescent="0.25">
      <c r="N12" cm="1">
        <f t="array" ref="N12">_xlfn.XLOOKUP('Orders2 data'!J10,Orders2[[#All],[Date]],Orders2[[#All],[Sales]])</f>
        <v>2808.08</v>
      </c>
    </row>
    <row r="15" spans="1:25" x14ac:dyDescent="0.25">
      <c r="N15" s="4" t="s">
        <v>66</v>
      </c>
      <c r="O15" s="4"/>
      <c r="P15" s="4"/>
      <c r="Q15" s="4"/>
      <c r="R15" s="4"/>
      <c r="S15" s="4"/>
      <c r="T15" s="4"/>
    </row>
    <row r="16" spans="1:25" x14ac:dyDescent="0.25">
      <c r="N16" t="str" cm="1">
        <f t="array" ref="N16">_xlfn.XLOOKUP(Orders2[[#This Row],[Sales]],Orders2[[#All],[Sales]],Orders2[[#All],[Customer Name]])</f>
        <v>Keith Dawkins</v>
      </c>
    </row>
    <row r="19" spans="14:20" x14ac:dyDescent="0.25">
      <c r="N19" s="4" t="s">
        <v>67</v>
      </c>
      <c r="O19" s="4"/>
      <c r="P19" s="4"/>
      <c r="Q19" s="4"/>
      <c r="R19" s="4"/>
      <c r="S19" s="4"/>
      <c r="T19" s="4"/>
    </row>
    <row r="20" spans="14:20" x14ac:dyDescent="0.25">
      <c r="N20" t="str" cm="1">
        <f t="array" ref="N20">_xlfn.XLOOKUP('Orders2 data'!H11,Orders2[[#All],[Region]],Orders2[[#All],[Customer Name]])</f>
        <v>Craig Yedwab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28EC5-D1C4-4D1C-B793-97866DC0680F}">
  <dimension ref="A1:U30"/>
  <sheetViews>
    <sheetView topLeftCell="L1" workbookViewId="0">
      <selection activeCell="AD26" sqref="AD26"/>
    </sheetView>
  </sheetViews>
  <sheetFormatPr defaultRowHeight="15" x14ac:dyDescent="0.25"/>
  <cols>
    <col min="1" max="1" width="21.42578125" bestFit="1" customWidth="1"/>
    <col min="2" max="2" width="13.28515625" bestFit="1" customWidth="1"/>
    <col min="3" max="3" width="14.42578125" bestFit="1" customWidth="1"/>
    <col min="4" max="4" width="10" bestFit="1" customWidth="1"/>
    <col min="5" max="5" width="8.7109375" bestFit="1" customWidth="1"/>
    <col min="6" max="6" width="13.7109375" bestFit="1" customWidth="1"/>
    <col min="7" max="7" width="8.7109375" bestFit="1" customWidth="1"/>
    <col min="8" max="8" width="8.5703125" bestFit="1" customWidth="1"/>
    <col min="9" max="9" width="18.140625" bestFit="1" customWidth="1"/>
    <col min="10" max="10" width="10.7109375" bestFit="1" customWidth="1"/>
    <col min="13" max="13" width="13.140625" bestFit="1" customWidth="1"/>
    <col min="14" max="14" width="21.140625" bestFit="1" customWidth="1"/>
    <col min="17" max="17" width="11.7109375" customWidth="1"/>
    <col min="18" max="18" width="12.85546875" customWidth="1"/>
    <col min="20" max="20" width="12.85546875" customWidth="1"/>
    <col min="21" max="21" width="10.7109375" customWidth="1"/>
    <col min="22" max="22" width="11.85546875" customWidth="1"/>
  </cols>
  <sheetData>
    <row r="1" spans="1:21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41</v>
      </c>
      <c r="N1" s="3" t="s">
        <v>40</v>
      </c>
    </row>
    <row r="2" spans="1:21" x14ac:dyDescent="0.25">
      <c r="A2" t="s">
        <v>15</v>
      </c>
      <c r="B2" t="s">
        <v>14</v>
      </c>
      <c r="C2">
        <v>2</v>
      </c>
      <c r="D2">
        <v>6.93</v>
      </c>
      <c r="E2">
        <v>0.01</v>
      </c>
      <c r="F2" t="s">
        <v>10</v>
      </c>
      <c r="G2">
        <v>-4.6399999999999997</v>
      </c>
      <c r="H2" t="s">
        <v>16</v>
      </c>
      <c r="I2" t="s">
        <v>17</v>
      </c>
      <c r="J2" s="1">
        <v>39935</v>
      </c>
      <c r="N2" t="s">
        <v>42</v>
      </c>
    </row>
    <row r="3" spans="1:21" x14ac:dyDescent="0.25">
      <c r="A3" t="s">
        <v>39</v>
      </c>
      <c r="B3" t="s">
        <v>18</v>
      </c>
      <c r="C3">
        <v>3</v>
      </c>
      <c r="D3">
        <v>461.89</v>
      </c>
      <c r="E3">
        <v>0.05</v>
      </c>
      <c r="F3" t="s">
        <v>31</v>
      </c>
      <c r="G3">
        <v>-309.82</v>
      </c>
      <c r="H3" t="s">
        <v>21</v>
      </c>
      <c r="I3" t="s">
        <v>17</v>
      </c>
      <c r="J3" s="1">
        <v>39939</v>
      </c>
      <c r="N3" t="s">
        <v>43</v>
      </c>
    </row>
    <row r="4" spans="1:21" x14ac:dyDescent="0.25">
      <c r="A4" t="s">
        <v>38</v>
      </c>
      <c r="B4" t="s">
        <v>9</v>
      </c>
      <c r="C4">
        <v>4</v>
      </c>
      <c r="D4">
        <v>32.72</v>
      </c>
      <c r="E4">
        <v>0.09</v>
      </c>
      <c r="F4" t="s">
        <v>10</v>
      </c>
      <c r="G4">
        <v>-22.59</v>
      </c>
      <c r="H4" t="s">
        <v>27</v>
      </c>
      <c r="I4" t="s">
        <v>17</v>
      </c>
      <c r="J4" s="1">
        <v>41068</v>
      </c>
      <c r="N4" t="s">
        <v>44</v>
      </c>
    </row>
    <row r="5" spans="1:21" x14ac:dyDescent="0.25">
      <c r="A5" t="s">
        <v>11</v>
      </c>
      <c r="B5" t="s">
        <v>9</v>
      </c>
      <c r="C5">
        <v>6</v>
      </c>
      <c r="D5">
        <v>261.54000000000002</v>
      </c>
      <c r="E5">
        <v>0.04</v>
      </c>
      <c r="F5" t="s">
        <v>10</v>
      </c>
      <c r="G5">
        <v>-213.25</v>
      </c>
      <c r="H5" t="s">
        <v>12</v>
      </c>
      <c r="I5" t="s">
        <v>13</v>
      </c>
      <c r="J5" s="1">
        <v>39928</v>
      </c>
      <c r="N5" t="s">
        <v>45</v>
      </c>
    </row>
    <row r="6" spans="1:21" x14ac:dyDescent="0.25">
      <c r="A6" t="s">
        <v>22</v>
      </c>
      <c r="B6" t="s">
        <v>14</v>
      </c>
      <c r="C6">
        <v>14</v>
      </c>
      <c r="D6">
        <v>1892.848</v>
      </c>
      <c r="E6">
        <v>0.01</v>
      </c>
      <c r="F6" t="s">
        <v>10</v>
      </c>
      <c r="G6">
        <v>48.99</v>
      </c>
      <c r="H6" t="s">
        <v>16</v>
      </c>
      <c r="I6" t="s">
        <v>17</v>
      </c>
      <c r="J6" s="1">
        <v>39926</v>
      </c>
      <c r="N6" t="s">
        <v>46</v>
      </c>
    </row>
    <row r="7" spans="1:21" x14ac:dyDescent="0.25">
      <c r="A7" t="s">
        <v>19</v>
      </c>
      <c r="B7" t="s">
        <v>18</v>
      </c>
      <c r="C7">
        <v>15</v>
      </c>
      <c r="D7">
        <v>140.56</v>
      </c>
      <c r="E7">
        <v>0.04</v>
      </c>
      <c r="F7" t="s">
        <v>10</v>
      </c>
      <c r="G7">
        <v>-128.38</v>
      </c>
      <c r="H7" t="s">
        <v>21</v>
      </c>
      <c r="I7" t="s">
        <v>17</v>
      </c>
      <c r="J7" s="1">
        <v>39932</v>
      </c>
    </row>
    <row r="8" spans="1:21" x14ac:dyDescent="0.25">
      <c r="A8" t="s">
        <v>19</v>
      </c>
      <c r="B8" t="s">
        <v>18</v>
      </c>
      <c r="C8">
        <v>23</v>
      </c>
      <c r="D8">
        <v>160.23349999999999</v>
      </c>
      <c r="E8">
        <v>0.04</v>
      </c>
      <c r="F8" t="s">
        <v>10</v>
      </c>
      <c r="G8">
        <v>-85.13</v>
      </c>
      <c r="H8" t="s">
        <v>16</v>
      </c>
      <c r="I8" t="s">
        <v>17</v>
      </c>
      <c r="J8" s="1">
        <v>39931</v>
      </c>
    </row>
    <row r="9" spans="1:21" x14ac:dyDescent="0.25">
      <c r="A9" t="s">
        <v>19</v>
      </c>
      <c r="B9" t="s">
        <v>18</v>
      </c>
      <c r="C9">
        <v>24</v>
      </c>
      <c r="D9">
        <v>1761.4</v>
      </c>
      <c r="E9">
        <v>0.09</v>
      </c>
      <c r="F9" t="s">
        <v>20</v>
      </c>
      <c r="G9">
        <v>-1748.56</v>
      </c>
      <c r="H9" t="s">
        <v>16</v>
      </c>
      <c r="I9" t="s">
        <v>17</v>
      </c>
      <c r="J9" s="1">
        <v>39930</v>
      </c>
    </row>
    <row r="10" spans="1:21" x14ac:dyDescent="0.25">
      <c r="A10" t="s">
        <v>19</v>
      </c>
      <c r="B10" t="s">
        <v>18</v>
      </c>
      <c r="C10">
        <v>26</v>
      </c>
      <c r="D10">
        <v>2808.08</v>
      </c>
      <c r="E10">
        <v>7.0000000000000007E-2</v>
      </c>
      <c r="F10" t="s">
        <v>10</v>
      </c>
      <c r="G10">
        <v>1054.82</v>
      </c>
      <c r="H10" t="s">
        <v>16</v>
      </c>
      <c r="I10" t="s">
        <v>17</v>
      </c>
      <c r="J10" s="1">
        <v>41025</v>
      </c>
    </row>
    <row r="11" spans="1:21" x14ac:dyDescent="0.25">
      <c r="A11" t="s">
        <v>36</v>
      </c>
      <c r="B11" t="s">
        <v>35</v>
      </c>
      <c r="C11">
        <v>26</v>
      </c>
      <c r="D11">
        <v>75.569999999999993</v>
      </c>
      <c r="E11">
        <v>0.03</v>
      </c>
      <c r="F11" t="s">
        <v>10</v>
      </c>
      <c r="G11">
        <v>28.24</v>
      </c>
      <c r="H11" t="s">
        <v>37</v>
      </c>
      <c r="I11" t="s">
        <v>29</v>
      </c>
      <c r="J11" s="1">
        <v>39936</v>
      </c>
      <c r="M11" t="s">
        <v>47</v>
      </c>
      <c r="Q11" t="s">
        <v>49</v>
      </c>
      <c r="T11" t="s">
        <v>50</v>
      </c>
    </row>
    <row r="12" spans="1:21" x14ac:dyDescent="0.25">
      <c r="A12" t="s">
        <v>30</v>
      </c>
      <c r="B12" t="s">
        <v>14</v>
      </c>
      <c r="C12">
        <v>28</v>
      </c>
      <c r="D12">
        <v>51.53</v>
      </c>
      <c r="E12">
        <v>0.03</v>
      </c>
      <c r="F12" t="s">
        <v>31</v>
      </c>
      <c r="G12">
        <v>0.35</v>
      </c>
      <c r="H12" t="s">
        <v>21</v>
      </c>
      <c r="I12" t="s">
        <v>17</v>
      </c>
      <c r="J12" s="1">
        <v>40307</v>
      </c>
      <c r="M12" s="5" t="s">
        <v>52</v>
      </c>
      <c r="N12" t="s">
        <v>54</v>
      </c>
      <c r="Q12" s="5" t="s">
        <v>52</v>
      </c>
      <c r="R12" t="s">
        <v>55</v>
      </c>
      <c r="T12" s="5" t="s">
        <v>52</v>
      </c>
      <c r="U12" t="s">
        <v>55</v>
      </c>
    </row>
    <row r="13" spans="1:21" x14ac:dyDescent="0.25">
      <c r="A13" t="s">
        <v>39</v>
      </c>
      <c r="B13" t="s">
        <v>18</v>
      </c>
      <c r="C13">
        <v>29</v>
      </c>
      <c r="D13">
        <v>575.11</v>
      </c>
      <c r="E13">
        <v>0.02</v>
      </c>
      <c r="F13" t="s">
        <v>10</v>
      </c>
      <c r="G13">
        <v>71.75</v>
      </c>
      <c r="H13" t="s">
        <v>21</v>
      </c>
      <c r="I13" t="s">
        <v>17</v>
      </c>
      <c r="J13" s="1">
        <v>39938</v>
      </c>
      <c r="M13" s="6" t="s">
        <v>19</v>
      </c>
      <c r="N13">
        <v>88</v>
      </c>
      <c r="Q13" s="7" t="s">
        <v>18</v>
      </c>
      <c r="R13" s="4">
        <v>10065.397000000001</v>
      </c>
      <c r="T13" s="6">
        <v>2009</v>
      </c>
      <c r="U13">
        <v>11741.707</v>
      </c>
    </row>
    <row r="14" spans="1:21" x14ac:dyDescent="0.25">
      <c r="A14" t="s">
        <v>22</v>
      </c>
      <c r="B14" t="s">
        <v>14</v>
      </c>
      <c r="C14">
        <v>30</v>
      </c>
      <c r="D14">
        <v>288.56</v>
      </c>
      <c r="E14">
        <v>0.03</v>
      </c>
      <c r="F14" t="s">
        <v>10</v>
      </c>
      <c r="G14">
        <v>60.72</v>
      </c>
      <c r="H14" t="s">
        <v>16</v>
      </c>
      <c r="I14" t="s">
        <v>17</v>
      </c>
      <c r="J14" s="1">
        <v>39562</v>
      </c>
      <c r="M14" s="6" t="s">
        <v>53</v>
      </c>
      <c r="N14">
        <v>88</v>
      </c>
      <c r="Q14" s="6" t="s">
        <v>9</v>
      </c>
      <c r="R14">
        <v>8296.99</v>
      </c>
      <c r="T14" s="6" t="s">
        <v>53</v>
      </c>
      <c r="U14">
        <v>11741.707</v>
      </c>
    </row>
    <row r="15" spans="1:21" x14ac:dyDescent="0.25">
      <c r="A15" t="s">
        <v>26</v>
      </c>
      <c r="B15" t="s">
        <v>23</v>
      </c>
      <c r="C15">
        <v>32</v>
      </c>
      <c r="D15">
        <v>3812.73</v>
      </c>
      <c r="E15">
        <v>0.02</v>
      </c>
      <c r="F15" t="s">
        <v>10</v>
      </c>
      <c r="G15">
        <v>1470.3</v>
      </c>
      <c r="H15" t="s">
        <v>27</v>
      </c>
      <c r="I15" t="s">
        <v>17</v>
      </c>
      <c r="J15" s="1">
        <v>39934</v>
      </c>
      <c r="Q15" s="6" t="s">
        <v>23</v>
      </c>
      <c r="R15">
        <v>6297.4755000000005</v>
      </c>
    </row>
    <row r="16" spans="1:21" x14ac:dyDescent="0.25">
      <c r="A16" t="s">
        <v>34</v>
      </c>
      <c r="B16" t="s">
        <v>18</v>
      </c>
      <c r="C16">
        <v>37</v>
      </c>
      <c r="D16">
        <v>4158.1234999999997</v>
      </c>
      <c r="E16">
        <v>0.01</v>
      </c>
      <c r="F16" t="s">
        <v>10</v>
      </c>
      <c r="G16">
        <v>1228.8900000000001</v>
      </c>
      <c r="H16" t="s">
        <v>21</v>
      </c>
      <c r="I16" t="s">
        <v>25</v>
      </c>
      <c r="J16" s="1">
        <v>40663</v>
      </c>
      <c r="Q16" s="6" t="s">
        <v>14</v>
      </c>
      <c r="R16">
        <v>3425.9279999999999</v>
      </c>
    </row>
    <row r="17" spans="1:20" x14ac:dyDescent="0.25">
      <c r="A17" t="s">
        <v>28</v>
      </c>
      <c r="B17" t="s">
        <v>9</v>
      </c>
      <c r="C17">
        <v>41</v>
      </c>
      <c r="D17">
        <v>108.15</v>
      </c>
      <c r="E17">
        <v>0.09</v>
      </c>
      <c r="F17" t="s">
        <v>10</v>
      </c>
      <c r="G17">
        <v>7.57</v>
      </c>
      <c r="H17" t="s">
        <v>16</v>
      </c>
      <c r="I17" t="s">
        <v>29</v>
      </c>
      <c r="J17" s="1">
        <v>39937</v>
      </c>
      <c r="Q17" s="6" t="s">
        <v>35</v>
      </c>
      <c r="R17">
        <v>75.569999999999993</v>
      </c>
    </row>
    <row r="18" spans="1:20" x14ac:dyDescent="0.25">
      <c r="A18" t="s">
        <v>30</v>
      </c>
      <c r="B18" t="s">
        <v>14</v>
      </c>
      <c r="C18">
        <v>42</v>
      </c>
      <c r="D18">
        <v>1186.06</v>
      </c>
      <c r="E18">
        <v>0.09</v>
      </c>
      <c r="F18" t="s">
        <v>10</v>
      </c>
      <c r="G18">
        <v>511.69</v>
      </c>
      <c r="H18" t="s">
        <v>21</v>
      </c>
      <c r="I18" t="s">
        <v>17</v>
      </c>
      <c r="J18" s="1">
        <v>40671</v>
      </c>
      <c r="Q18" s="6" t="s">
        <v>53</v>
      </c>
      <c r="R18">
        <v>28161.360500000003</v>
      </c>
    </row>
    <row r="19" spans="1:20" x14ac:dyDescent="0.25">
      <c r="A19" t="s">
        <v>24</v>
      </c>
      <c r="B19" t="s">
        <v>23</v>
      </c>
      <c r="C19">
        <v>46</v>
      </c>
      <c r="D19">
        <v>2484.7455</v>
      </c>
      <c r="E19">
        <v>0.1</v>
      </c>
      <c r="F19" t="s">
        <v>10</v>
      </c>
      <c r="G19">
        <v>657.48</v>
      </c>
      <c r="H19" t="s">
        <v>16</v>
      </c>
      <c r="I19" t="s">
        <v>25</v>
      </c>
      <c r="J19" s="1">
        <v>39940</v>
      </c>
    </row>
    <row r="20" spans="1:20" x14ac:dyDescent="0.25">
      <c r="A20" t="s">
        <v>32</v>
      </c>
      <c r="B20" t="s">
        <v>9</v>
      </c>
      <c r="C20">
        <v>46</v>
      </c>
      <c r="D20">
        <v>7804.53</v>
      </c>
      <c r="E20">
        <v>0.05</v>
      </c>
      <c r="F20" t="s">
        <v>10</v>
      </c>
      <c r="G20">
        <v>2057.17</v>
      </c>
      <c r="H20" t="s">
        <v>33</v>
      </c>
      <c r="I20" t="s">
        <v>25</v>
      </c>
      <c r="J20" s="1">
        <v>40887</v>
      </c>
    </row>
    <row r="21" spans="1:20" x14ac:dyDescent="0.25">
      <c r="A21" t="s">
        <v>32</v>
      </c>
      <c r="B21" t="s">
        <v>9</v>
      </c>
      <c r="C21">
        <v>48</v>
      </c>
      <c r="D21">
        <v>90.05</v>
      </c>
      <c r="E21">
        <v>0.03</v>
      </c>
      <c r="F21" t="s">
        <v>10</v>
      </c>
      <c r="G21">
        <v>-107</v>
      </c>
      <c r="H21" t="s">
        <v>33</v>
      </c>
      <c r="I21" t="s">
        <v>25</v>
      </c>
      <c r="J21" s="1">
        <v>40828</v>
      </c>
    </row>
    <row r="24" spans="1:20" x14ac:dyDescent="0.25">
      <c r="M24" t="s">
        <v>51</v>
      </c>
      <c r="S24" t="s">
        <v>56</v>
      </c>
    </row>
    <row r="25" spans="1:20" x14ac:dyDescent="0.25">
      <c r="M25" s="5" t="s">
        <v>64</v>
      </c>
      <c r="N25" s="6">
        <v>2012</v>
      </c>
      <c r="S25" s="5" t="s">
        <v>52</v>
      </c>
      <c r="T25" t="s">
        <v>55</v>
      </c>
    </row>
    <row r="26" spans="1:20" x14ac:dyDescent="0.25">
      <c r="S26" s="7" t="s">
        <v>25</v>
      </c>
      <c r="T26" s="4">
        <v>14537.448999999999</v>
      </c>
    </row>
    <row r="27" spans="1:20" x14ac:dyDescent="0.25">
      <c r="M27" s="5" t="s">
        <v>52</v>
      </c>
      <c r="N27" t="s">
        <v>55</v>
      </c>
      <c r="S27" s="6" t="s">
        <v>17</v>
      </c>
      <c r="T27">
        <v>13178.6515</v>
      </c>
    </row>
    <row r="28" spans="1:20" x14ac:dyDescent="0.25">
      <c r="M28" s="6" t="s">
        <v>27</v>
      </c>
      <c r="N28">
        <v>32.72</v>
      </c>
      <c r="S28" s="6" t="s">
        <v>13</v>
      </c>
      <c r="T28">
        <v>261.54000000000002</v>
      </c>
    </row>
    <row r="29" spans="1:20" x14ac:dyDescent="0.25">
      <c r="M29" s="6" t="s">
        <v>16</v>
      </c>
      <c r="N29">
        <v>2808.08</v>
      </c>
      <c r="S29" s="6" t="s">
        <v>29</v>
      </c>
      <c r="T29">
        <v>183.72</v>
      </c>
    </row>
    <row r="30" spans="1:20" x14ac:dyDescent="0.25">
      <c r="M30" s="6" t="s">
        <v>53</v>
      </c>
      <c r="N30">
        <v>2840.7999999999997</v>
      </c>
      <c r="S30" s="6" t="s">
        <v>53</v>
      </c>
      <c r="T30">
        <v>28161.360499999999</v>
      </c>
    </row>
  </sheetData>
  <pageMargins left="0.7" right="0.7" top="0.75" bottom="0.75" header="0.3" footer="0.3"/>
  <tableParts count="1"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F2B1-8507-4F5F-8728-4389CB2F9F4D}">
  <dimension ref="A3:B5"/>
  <sheetViews>
    <sheetView workbookViewId="0">
      <selection activeCell="A3" sqref="A3:B5"/>
    </sheetView>
  </sheetViews>
  <sheetFormatPr defaultRowHeight="15" x14ac:dyDescent="0.25"/>
  <cols>
    <col min="1" max="1" width="13.140625" bestFit="1" customWidth="1"/>
    <col min="2" max="2" width="21.140625" bestFit="1" customWidth="1"/>
  </cols>
  <sheetData>
    <row r="3" spans="1:2" x14ac:dyDescent="0.25">
      <c r="A3" s="5" t="s">
        <v>52</v>
      </c>
      <c r="B3" t="s">
        <v>54</v>
      </c>
    </row>
    <row r="4" spans="1:2" x14ac:dyDescent="0.25">
      <c r="A4" s="6" t="s">
        <v>19</v>
      </c>
      <c r="B4">
        <v>88</v>
      </c>
    </row>
    <row r="5" spans="1:2" x14ac:dyDescent="0.25">
      <c r="A5" s="6" t="s">
        <v>53</v>
      </c>
      <c r="B5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22F9-A96B-4DB6-A3C6-9F5E61DFCCA9}">
  <dimension ref="A3:B9"/>
  <sheetViews>
    <sheetView workbookViewId="0">
      <selection activeCell="A3" sqref="A3:B9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5" t="s">
        <v>52</v>
      </c>
      <c r="B3" t="s">
        <v>55</v>
      </c>
    </row>
    <row r="4" spans="1:2" x14ac:dyDescent="0.25">
      <c r="A4" s="7" t="s">
        <v>18</v>
      </c>
      <c r="B4" s="4">
        <v>10065.397000000001</v>
      </c>
    </row>
    <row r="5" spans="1:2" x14ac:dyDescent="0.25">
      <c r="A5" s="6" t="s">
        <v>9</v>
      </c>
      <c r="B5">
        <v>8296.99</v>
      </c>
    </row>
    <row r="6" spans="1:2" x14ac:dyDescent="0.25">
      <c r="A6" s="6" t="s">
        <v>23</v>
      </c>
      <c r="B6">
        <v>6297.4755000000005</v>
      </c>
    </row>
    <row r="7" spans="1:2" x14ac:dyDescent="0.25">
      <c r="A7" s="6" t="s">
        <v>14</v>
      </c>
      <c r="B7">
        <v>3425.9279999999999</v>
      </c>
    </row>
    <row r="8" spans="1:2" x14ac:dyDescent="0.25">
      <c r="A8" s="6" t="s">
        <v>35</v>
      </c>
      <c r="B8">
        <v>75.569999999999993</v>
      </c>
    </row>
    <row r="9" spans="1:2" x14ac:dyDescent="0.25">
      <c r="A9" s="6" t="s">
        <v>53</v>
      </c>
      <c r="B9">
        <v>28161.360500000003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4CB2-3CD4-48B0-B586-049B67D10D4A}">
  <dimension ref="A3:B5"/>
  <sheetViews>
    <sheetView workbookViewId="0">
      <selection activeCell="A3" sqref="A3:B5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5" t="s">
        <v>52</v>
      </c>
      <c r="B3" t="s">
        <v>55</v>
      </c>
    </row>
    <row r="4" spans="1:2" x14ac:dyDescent="0.25">
      <c r="A4" s="6">
        <v>2009</v>
      </c>
      <c r="B4">
        <v>11741.707</v>
      </c>
    </row>
    <row r="5" spans="1:2" x14ac:dyDescent="0.25">
      <c r="A5" s="6" t="s">
        <v>53</v>
      </c>
      <c r="B5">
        <v>11741.707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6272-69F1-41F1-BB03-0E0DB4FD4F35}">
  <dimension ref="A1:B6"/>
  <sheetViews>
    <sheetView workbookViewId="0">
      <selection sqref="A1:B6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1" spans="1:2" x14ac:dyDescent="0.25">
      <c r="A1" s="5" t="s">
        <v>64</v>
      </c>
      <c r="B1" s="6">
        <v>2012</v>
      </c>
    </row>
    <row r="3" spans="1:2" x14ac:dyDescent="0.25">
      <c r="A3" s="5" t="s">
        <v>52</v>
      </c>
      <c r="B3" t="s">
        <v>55</v>
      </c>
    </row>
    <row r="4" spans="1:2" x14ac:dyDescent="0.25">
      <c r="A4" s="6" t="s">
        <v>27</v>
      </c>
      <c r="B4">
        <v>32.72</v>
      </c>
    </row>
    <row r="5" spans="1:2" x14ac:dyDescent="0.25">
      <c r="A5" s="6" t="s">
        <v>16</v>
      </c>
      <c r="B5">
        <v>2808.08</v>
      </c>
    </row>
    <row r="6" spans="1:2" x14ac:dyDescent="0.25">
      <c r="A6" s="6" t="s">
        <v>53</v>
      </c>
      <c r="B6">
        <v>2840.7999999999997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AD1A-B79C-4E1E-B4B7-61212515A03C}">
  <dimension ref="A3:B8"/>
  <sheetViews>
    <sheetView workbookViewId="0">
      <selection activeCell="A3" sqref="A3:B8"/>
    </sheetView>
  </sheetViews>
  <sheetFormatPr defaultRowHeight="15" x14ac:dyDescent="0.25"/>
  <cols>
    <col min="1" max="1" width="14.140625" bestFit="1" customWidth="1"/>
    <col min="2" max="2" width="12.140625" bestFit="1" customWidth="1"/>
  </cols>
  <sheetData>
    <row r="3" spans="1:2" x14ac:dyDescent="0.25">
      <c r="A3" s="5" t="s">
        <v>52</v>
      </c>
      <c r="B3" t="s">
        <v>55</v>
      </c>
    </row>
    <row r="4" spans="1:2" x14ac:dyDescent="0.25">
      <c r="A4" s="7" t="s">
        <v>25</v>
      </c>
      <c r="B4" s="4">
        <v>14537.448999999999</v>
      </c>
    </row>
    <row r="5" spans="1:2" x14ac:dyDescent="0.25">
      <c r="A5" s="6" t="s">
        <v>17</v>
      </c>
      <c r="B5">
        <v>13178.6515</v>
      </c>
    </row>
    <row r="6" spans="1:2" x14ac:dyDescent="0.25">
      <c r="A6" s="6" t="s">
        <v>13</v>
      </c>
      <c r="B6">
        <v>261.54000000000002</v>
      </c>
    </row>
    <row r="7" spans="1:2" x14ac:dyDescent="0.25">
      <c r="A7" s="6" t="s">
        <v>29</v>
      </c>
      <c r="B7">
        <v>183.72</v>
      </c>
    </row>
    <row r="8" spans="1:2" x14ac:dyDescent="0.25">
      <c r="A8" s="6" t="s">
        <v>53</v>
      </c>
      <c r="B8">
        <v>28161.360499999999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Lookup</vt:lpstr>
      <vt:lpstr>Orders data</vt:lpstr>
      <vt:lpstr>Orders2 data</vt:lpstr>
      <vt:lpstr>Lookup Assignment</vt:lpstr>
      <vt:lpstr>Pivot Assignment</vt:lpstr>
      <vt:lpstr>Q1</vt:lpstr>
      <vt:lpstr>Q2</vt:lpstr>
      <vt:lpstr>Q3</vt:lpstr>
      <vt:lpstr>Q. 4</vt:lpstr>
      <vt:lpstr>Q.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Netshiendeulu Ndivhuwo</cp:lastModifiedBy>
  <dcterms:created xsi:type="dcterms:W3CDTF">2023-01-12T16:09:45Z</dcterms:created>
  <dcterms:modified xsi:type="dcterms:W3CDTF">2026-04-03T09:18:12Z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2c5201-1ce7-41e2-bc35-8f8dc05aa09a_Enabled">
    <vt:lpwstr>true</vt:lpwstr>
  </property>
  <property fmtid="{D5CDD505-2E9C-101B-9397-08002B2CF9AE}" pid="3" name="MSIP_Label_382c5201-1ce7-41e2-bc35-8f8dc05aa09a_SetDate">
    <vt:lpwstr>2026-04-01T16:55:58Z</vt:lpwstr>
  </property>
  <property fmtid="{D5CDD505-2E9C-101B-9397-08002B2CF9AE}" pid="4" name="MSIP_Label_382c5201-1ce7-41e2-bc35-8f8dc05aa09a_Method">
    <vt:lpwstr>Standard</vt:lpwstr>
  </property>
  <property fmtid="{D5CDD505-2E9C-101B-9397-08002B2CF9AE}" pid="5" name="MSIP_Label_382c5201-1ce7-41e2-bc35-8f8dc05aa09a_Name">
    <vt:lpwstr>DWS General - Public</vt:lpwstr>
  </property>
  <property fmtid="{D5CDD505-2E9C-101B-9397-08002B2CF9AE}" pid="6" name="MSIP_Label_382c5201-1ce7-41e2-bc35-8f8dc05aa09a_SiteId">
    <vt:lpwstr>c0491358-a254-4466-ab3d-ff428faeea29</vt:lpwstr>
  </property>
  <property fmtid="{D5CDD505-2E9C-101B-9397-08002B2CF9AE}" pid="7" name="MSIP_Label_382c5201-1ce7-41e2-bc35-8f8dc05aa09a_ActionId">
    <vt:lpwstr>97e40331-287f-4fab-bea7-c9c5277ea0b8</vt:lpwstr>
  </property>
  <property fmtid="{D5CDD505-2E9C-101B-9397-08002B2CF9AE}" pid="8" name="MSIP_Label_382c5201-1ce7-41e2-bc35-8f8dc05aa09a_ContentBits">
    <vt:lpwstr>0</vt:lpwstr>
  </property>
  <property fmtid="{D5CDD505-2E9C-101B-9397-08002B2CF9AE}" pid="9" name="MSIP_Label_382c5201-1ce7-41e2-bc35-8f8dc05aa09a_Tag">
    <vt:lpwstr>10, 3, 0, 1</vt:lpwstr>
  </property>
</Properties>
</file>